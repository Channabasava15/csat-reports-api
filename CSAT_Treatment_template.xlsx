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E:\CSAT NS EXCEL\"/>
    </mc:Choice>
  </mc:AlternateContent>
  <xr:revisionPtr revIDLastSave="0" documentId="13_ncr:1_{4E192B3E-E00C-4ED0-93DE-472F39B7B8A9}" xr6:coauthVersionLast="47" xr6:coauthVersionMax="47" xr10:uidLastSave="{00000000-0000-0000-0000-000000000000}"/>
  <bookViews>
    <workbookView xWindow="-108" yWindow="-108" windowWidth="23256" windowHeight="12456" tabRatio="904" activeTab="4" xr2:uid="{00000000-000D-0000-FFFF-FFFF00000000}"/>
  </bookViews>
  <sheets>
    <sheet name="Data-SO" sheetId="8" r:id="rId1"/>
    <sheet name="Data-TSD+1" sheetId="58" r:id="rId2"/>
    <sheet name="Data-TED-1" sheetId="2" r:id="rId3"/>
    <sheet name="CSAT-AVH" sheetId="5" r:id="rId4"/>
    <sheet name="Graphs" sheetId="35" r:id="rId5"/>
    <sheet name="Month" sheetId="7" r:id="rId6"/>
  </sheets>
  <definedNames>
    <definedName name="_xlnm._FilterDatabase" localSheetId="0" hidden="1">'Data-SO'!$A$1:$AL$1</definedName>
    <definedName name="_xlnm._FilterDatabase" localSheetId="2" hidden="1">'Data-TED-1'!$A$1:$AH$1</definedName>
    <definedName name="_xlnm._FilterDatabase" localSheetId="1" hidden="1">'Data-TSD+1'!$A$1:$AC$1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40" i="35" l="1"/>
  <c r="E240" i="35" s="1"/>
  <c r="C240" i="35"/>
  <c r="C264" i="35" s="1"/>
  <c r="C248" i="35"/>
  <c r="B240" i="35"/>
  <c r="L1" i="5"/>
  <c r="O1" i="5"/>
  <c r="R1" i="5"/>
  <c r="U1" i="5" s="1"/>
  <c r="X1" i="5" s="1"/>
  <c r="AA1" i="5" s="1"/>
  <c r="AD1" i="5" s="1"/>
  <c r="AG1" i="5" s="1"/>
  <c r="AJ1" i="5" s="1"/>
  <c r="AM1" i="5" s="1"/>
  <c r="I1" i="5"/>
  <c r="AG2" i="2"/>
  <c r="AG2" i="8"/>
  <c r="AI2" i="8" s="1"/>
  <c r="AH2" i="8"/>
  <c r="AJ2" i="8" s="1"/>
  <c r="AK2" i="8"/>
  <c r="AL2" i="8"/>
  <c r="AC2" i="58"/>
  <c r="AH2" i="2"/>
  <c r="AB2" i="58"/>
  <c r="F240" i="35" l="1"/>
  <c r="E264" i="35"/>
  <c r="D256" i="35"/>
  <c r="D248" i="35"/>
  <c r="E248" i="35"/>
  <c r="E250" i="35" s="1"/>
  <c r="E256" i="35"/>
  <c r="D264" i="35"/>
  <c r="C256" i="35"/>
  <c r="B248" i="35"/>
  <c r="B250" i="35" s="1"/>
  <c r="B411" i="35"/>
  <c r="B264" i="35"/>
  <c r="B256" i="35"/>
  <c r="F264" i="35" l="1"/>
  <c r="G240" i="35"/>
  <c r="F248" i="35"/>
  <c r="F256" i="35"/>
  <c r="B249" i="35"/>
  <c r="C249" i="35"/>
  <c r="D249" i="35"/>
  <c r="E249" i="35"/>
  <c r="F249" i="35"/>
  <c r="C250" i="35"/>
  <c r="F250" i="35"/>
  <c r="D250" i="35"/>
  <c r="E252" i="35"/>
  <c r="E254" i="35" s="1"/>
  <c r="D252" i="35"/>
  <c r="F252" i="35"/>
  <c r="B252" i="35"/>
  <c r="B254" i="35" s="1"/>
  <c r="C252" i="35"/>
  <c r="B251" i="35"/>
  <c r="C251" i="35"/>
  <c r="D251" i="35"/>
  <c r="E251" i="35"/>
  <c r="F251" i="35"/>
  <c r="G264" i="35" l="1"/>
  <c r="H240" i="35"/>
  <c r="G248" i="35"/>
  <c r="G256" i="35"/>
  <c r="B253" i="35"/>
  <c r="C253" i="35"/>
  <c r="C254" i="35"/>
  <c r="F254" i="35"/>
  <c r="D254" i="35"/>
  <c r="F253" i="35"/>
  <c r="E253" i="35"/>
  <c r="D253" i="35"/>
  <c r="G249" i="35" l="1"/>
  <c r="G252" i="35"/>
  <c r="G251" i="35"/>
  <c r="G253" i="35" s="1"/>
  <c r="G250" i="35"/>
  <c r="H256" i="35"/>
  <c r="H264" i="35"/>
  <c r="I240" i="35"/>
  <c r="H248" i="35"/>
  <c r="AB65" i="5"/>
  <c r="M66" i="5"/>
  <c r="AB66" i="5"/>
  <c r="V72" i="5"/>
  <c r="AH72" i="5"/>
  <c r="V77" i="5"/>
  <c r="AH77" i="5"/>
  <c r="M78" i="5"/>
  <c r="Y78" i="5"/>
  <c r="AK78" i="5"/>
  <c r="S83" i="5"/>
  <c r="AE83" i="5"/>
  <c r="J84" i="5"/>
  <c r="V84" i="5"/>
  <c r="AH84" i="5"/>
  <c r="P90" i="5"/>
  <c r="AB90" i="5"/>
  <c r="AN90" i="5"/>
  <c r="G96" i="5"/>
  <c r="V96" i="5"/>
  <c r="AH96" i="5"/>
  <c r="S102" i="5"/>
  <c r="AH102" i="5"/>
  <c r="AB108" i="5"/>
  <c r="AN108" i="5"/>
  <c r="G123" i="5"/>
  <c r="AB123" i="5"/>
  <c r="P147" i="5"/>
  <c r="AK147" i="5"/>
  <c r="AE65" i="5"/>
  <c r="P66" i="5"/>
  <c r="AH66" i="5"/>
  <c r="Y72" i="5"/>
  <c r="AK72" i="5"/>
  <c r="Y77" i="5"/>
  <c r="AK77" i="5"/>
  <c r="P78" i="5"/>
  <c r="AB78" i="5"/>
  <c r="AN78" i="5"/>
  <c r="J83" i="5"/>
  <c r="V83" i="5"/>
  <c r="AH83" i="5"/>
  <c r="M84" i="5"/>
  <c r="Y84" i="5"/>
  <c r="AK84" i="5"/>
  <c r="S90" i="5"/>
  <c r="AE90" i="5"/>
  <c r="J96" i="5"/>
  <c r="Y96" i="5"/>
  <c r="AK96" i="5"/>
  <c r="V102" i="5"/>
  <c r="AK102" i="5"/>
  <c r="AE108" i="5"/>
  <c r="P123" i="5"/>
  <c r="Y147" i="5"/>
  <c r="AN147" i="5"/>
  <c r="AK65" i="5"/>
  <c r="S66" i="5"/>
  <c r="AK66" i="5"/>
  <c r="M72" i="5"/>
  <c r="AB72" i="5"/>
  <c r="AN72" i="5"/>
  <c r="P77" i="5"/>
  <c r="AB77" i="5"/>
  <c r="AN65" i="5"/>
  <c r="S72" i="5"/>
  <c r="AE77" i="5"/>
  <c r="J78" i="5"/>
  <c r="AH78" i="5"/>
  <c r="P83" i="5"/>
  <c r="AN83" i="5"/>
  <c r="S84" i="5"/>
  <c r="Y90" i="5"/>
  <c r="AE96" i="5"/>
  <c r="P102" i="5"/>
  <c r="AK108" i="5"/>
  <c r="Y123" i="5"/>
  <c r="AH147" i="5"/>
  <c r="J65" i="5"/>
  <c r="AE78" i="5"/>
  <c r="AK83" i="5"/>
  <c r="V90" i="5"/>
  <c r="J102" i="5"/>
  <c r="V123" i="5"/>
  <c r="G66" i="5"/>
  <c r="AE72" i="5"/>
  <c r="AN77" i="5"/>
  <c r="S78" i="5"/>
  <c r="Y83" i="5"/>
  <c r="AB84" i="5"/>
  <c r="G90" i="5"/>
  <c r="AH90" i="5"/>
  <c r="M96" i="5"/>
  <c r="AN96" i="5"/>
  <c r="AB102" i="5"/>
  <c r="G108" i="5"/>
  <c r="P84" i="5"/>
  <c r="AN102" i="5"/>
  <c r="Y66" i="5"/>
  <c r="V78" i="5"/>
  <c r="AB83" i="5"/>
  <c r="G84" i="5"/>
  <c r="AE84" i="5"/>
  <c r="J90" i="5"/>
  <c r="AK90" i="5"/>
  <c r="S96" i="5"/>
  <c r="AE102" i="5"/>
  <c r="V108" i="5"/>
  <c r="S77" i="5"/>
  <c r="G78" i="5"/>
  <c r="M83" i="5"/>
  <c r="AN84" i="5"/>
  <c r="AB96" i="5"/>
  <c r="AH108" i="5"/>
  <c r="AB147" i="5"/>
  <c r="M4" i="5"/>
  <c r="Y4" i="5"/>
  <c r="AK4" i="5"/>
  <c r="P5" i="5"/>
  <c r="AB5" i="5"/>
  <c r="AN5" i="5"/>
  <c r="G6" i="5"/>
  <c r="S6" i="5"/>
  <c r="AE6" i="5"/>
  <c r="J7" i="5"/>
  <c r="V7" i="5"/>
  <c r="AH7" i="5"/>
  <c r="M10" i="5"/>
  <c r="Y10" i="5"/>
  <c r="AK10" i="5"/>
  <c r="P11" i="5"/>
  <c r="AB11" i="5"/>
  <c r="AN11" i="5"/>
  <c r="G12" i="5"/>
  <c r="S12" i="5"/>
  <c r="AE12" i="5"/>
  <c r="J13" i="5"/>
  <c r="V13" i="5"/>
  <c r="AH13" i="5"/>
  <c r="M16" i="5"/>
  <c r="Y16" i="5"/>
  <c r="AK16" i="5"/>
  <c r="P17" i="5"/>
  <c r="AB17" i="5"/>
  <c r="AN17" i="5"/>
  <c r="G18" i="5"/>
  <c r="S18" i="5"/>
  <c r="AE18" i="5"/>
  <c r="J19" i="5"/>
  <c r="V19" i="5"/>
  <c r="AH19" i="5"/>
  <c r="M22" i="5"/>
  <c r="Y22" i="5"/>
  <c r="AK22" i="5"/>
  <c r="P23" i="5"/>
  <c r="AB23" i="5"/>
  <c r="AN23" i="5"/>
  <c r="G24" i="5"/>
  <c r="S24" i="5"/>
  <c r="AE24" i="5"/>
  <c r="J25" i="5"/>
  <c r="V25" i="5"/>
  <c r="AH25" i="5"/>
  <c r="M28" i="5"/>
  <c r="Y28" i="5"/>
  <c r="AK28" i="5"/>
  <c r="P29" i="5"/>
  <c r="AB29" i="5"/>
  <c r="AN29" i="5"/>
  <c r="G30" i="5"/>
  <c r="S30" i="5"/>
  <c r="AE30" i="5"/>
  <c r="J31" i="5"/>
  <c r="V31" i="5"/>
  <c r="AH31" i="5"/>
  <c r="M34" i="5"/>
  <c r="Y34" i="5"/>
  <c r="AK34" i="5"/>
  <c r="P35" i="5"/>
  <c r="AB35" i="5"/>
  <c r="AN35" i="5"/>
  <c r="G36" i="5"/>
  <c r="S36" i="5"/>
  <c r="AE36" i="5"/>
  <c r="P4" i="5"/>
  <c r="AE4" i="5"/>
  <c r="S5" i="5"/>
  <c r="AH5" i="5"/>
  <c r="V6" i="5"/>
  <c r="AK6" i="5"/>
  <c r="G7" i="5"/>
  <c r="Y7" i="5"/>
  <c r="AN7" i="5"/>
  <c r="J10" i="5"/>
  <c r="AB10" i="5"/>
  <c r="M11" i="5"/>
  <c r="AE11" i="5"/>
  <c r="P12" i="5"/>
  <c r="AH12" i="5"/>
  <c r="S13" i="5"/>
  <c r="AK13" i="5"/>
  <c r="G16" i="5"/>
  <c r="V16" i="5"/>
  <c r="AN16" i="5"/>
  <c r="J17" i="5"/>
  <c r="Y17" i="5"/>
  <c r="M18" i="5"/>
  <c r="AB18" i="5"/>
  <c r="P19" i="5"/>
  <c r="AE19" i="5"/>
  <c r="S22" i="5"/>
  <c r="AH22" i="5"/>
  <c r="G23" i="5"/>
  <c r="V23" i="5"/>
  <c r="AK23" i="5"/>
  <c r="J24" i="5"/>
  <c r="Y24" i="5"/>
  <c r="AN24" i="5"/>
  <c r="M25" i="5"/>
  <c r="AB25" i="5"/>
  <c r="P28" i="5"/>
  <c r="AE28" i="5"/>
  <c r="S29" i="5"/>
  <c r="AH29" i="5"/>
  <c r="V30" i="5"/>
  <c r="AK30" i="5"/>
  <c r="G31" i="5"/>
  <c r="Y31" i="5"/>
  <c r="AN31" i="5"/>
  <c r="J34" i="5"/>
  <c r="AB34" i="5"/>
  <c r="M35" i="5"/>
  <c r="AE35" i="5"/>
  <c r="P36" i="5"/>
  <c r="AH36" i="5"/>
  <c r="M37" i="5"/>
  <c r="Y37" i="5"/>
  <c r="AK37" i="5"/>
  <c r="P39" i="5"/>
  <c r="AB39" i="5"/>
  <c r="AN39" i="5"/>
  <c r="G41" i="5"/>
  <c r="S41" i="5"/>
  <c r="AE41" i="5"/>
  <c r="J42" i="5"/>
  <c r="V42" i="5"/>
  <c r="AH42" i="5"/>
  <c r="M43" i="5"/>
  <c r="Y43" i="5"/>
  <c r="AK43" i="5"/>
  <c r="P46" i="5"/>
  <c r="AB46" i="5"/>
  <c r="AN46" i="5"/>
  <c r="G47" i="5"/>
  <c r="S47" i="5"/>
  <c r="AE47" i="5"/>
  <c r="J48" i="5"/>
  <c r="V48" i="5"/>
  <c r="AH48" i="5"/>
  <c r="M49" i="5"/>
  <c r="Y49" i="5"/>
  <c r="AK49" i="5"/>
  <c r="P51" i="5"/>
  <c r="AB51" i="5"/>
  <c r="AN51" i="5"/>
  <c r="G53" i="5"/>
  <c r="S53" i="5"/>
  <c r="AE53" i="5"/>
  <c r="J54" i="5"/>
  <c r="V54" i="5"/>
  <c r="AH54" i="5"/>
  <c r="M55" i="5"/>
  <c r="Y55" i="5"/>
  <c r="AK55" i="5"/>
  <c r="V57" i="5"/>
  <c r="AH57" i="5"/>
  <c r="M59" i="5"/>
  <c r="Y59" i="5"/>
  <c r="AK59" i="5"/>
  <c r="P60" i="5"/>
  <c r="AB60" i="5"/>
  <c r="AN60" i="5"/>
  <c r="G61" i="5"/>
  <c r="S61" i="5"/>
  <c r="AE61" i="5"/>
  <c r="AH4" i="5"/>
  <c r="G5" i="5"/>
  <c r="V5" i="5"/>
  <c r="AK5" i="5"/>
  <c r="J6" i="5"/>
  <c r="Y6" i="5"/>
  <c r="AN6" i="5"/>
  <c r="M7" i="5"/>
  <c r="AB7" i="5"/>
  <c r="P10" i="5"/>
  <c r="AE10" i="5"/>
  <c r="S11" i="5"/>
  <c r="AK12" i="5"/>
  <c r="AH18" i="5"/>
  <c r="AK19" i="5"/>
  <c r="V22" i="5"/>
  <c r="J23" i="5"/>
  <c r="AB24" i="5"/>
  <c r="P25" i="5"/>
  <c r="AH28" i="5"/>
  <c r="V29" i="5"/>
  <c r="J30" i="5"/>
  <c r="AN30" i="5"/>
  <c r="AB31" i="5"/>
  <c r="P34" i="5"/>
  <c r="AH35" i="5"/>
  <c r="V36" i="5"/>
  <c r="AB37" i="5"/>
  <c r="G39" i="5"/>
  <c r="AE39" i="5"/>
  <c r="J41" i="5"/>
  <c r="AH41" i="5"/>
  <c r="M42" i="5"/>
  <c r="AK42" i="5"/>
  <c r="S4" i="5"/>
  <c r="AH11" i="5"/>
  <c r="V12" i="5"/>
  <c r="G13" i="5"/>
  <c r="Y13" i="5"/>
  <c r="AN13" i="5"/>
  <c r="J16" i="5"/>
  <c r="AB16" i="5"/>
  <c r="M17" i="5"/>
  <c r="AE17" i="5"/>
  <c r="P18" i="5"/>
  <c r="S19" i="5"/>
  <c r="G22" i="5"/>
  <c r="AN22" i="5"/>
  <c r="Y23" i="5"/>
  <c r="M24" i="5"/>
  <c r="AE25" i="5"/>
  <c r="S28" i="5"/>
  <c r="G29" i="5"/>
  <c r="AK29" i="5"/>
  <c r="Y30" i="5"/>
  <c r="M31" i="5"/>
  <c r="AE34" i="5"/>
  <c r="S35" i="5"/>
  <c r="AK36" i="5"/>
  <c r="P37" i="5"/>
  <c r="AN37" i="5"/>
  <c r="S39" i="5"/>
  <c r="V41" i="5"/>
  <c r="Y42" i="5"/>
  <c r="J4" i="5"/>
  <c r="AE5" i="5"/>
  <c r="P6" i="5"/>
  <c r="AK7" i="5"/>
  <c r="V10" i="5"/>
  <c r="J11" i="5"/>
  <c r="AB12" i="5"/>
  <c r="P13" i="5"/>
  <c r="AH16" i="5"/>
  <c r="V17" i="5"/>
  <c r="J18" i="5"/>
  <c r="AN18" i="5"/>
  <c r="AB19" i="5"/>
  <c r="P22" i="5"/>
  <c r="AH23" i="5"/>
  <c r="V24" i="5"/>
  <c r="G25" i="5"/>
  <c r="AN25" i="5"/>
  <c r="AB28" i="5"/>
  <c r="M29" i="5"/>
  <c r="AH30" i="5"/>
  <c r="S31" i="5"/>
  <c r="G34" i="5"/>
  <c r="AN34" i="5"/>
  <c r="Y35" i="5"/>
  <c r="M36" i="5"/>
  <c r="V37" i="5"/>
  <c r="Y39" i="5"/>
  <c r="AB41" i="5"/>
  <c r="G42" i="5"/>
  <c r="AE42" i="5"/>
  <c r="J43" i="5"/>
  <c r="AB43" i="5"/>
  <c r="M46" i="5"/>
  <c r="AE46" i="5"/>
  <c r="P47" i="5"/>
  <c r="AH47" i="5"/>
  <c r="S48" i="5"/>
  <c r="AK48" i="5"/>
  <c r="G49" i="5"/>
  <c r="V49" i="5"/>
  <c r="AN49" i="5"/>
  <c r="J51" i="5"/>
  <c r="Y51" i="5"/>
  <c r="M53" i="5"/>
  <c r="AB53" i="5"/>
  <c r="P54" i="5"/>
  <c r="AE54" i="5"/>
  <c r="S55" i="5"/>
  <c r="AH55" i="5"/>
  <c r="M57" i="5"/>
  <c r="AB57" i="5"/>
  <c r="P59" i="5"/>
  <c r="AE59" i="5"/>
  <c r="S60" i="5"/>
  <c r="AH60" i="5"/>
  <c r="V61" i="5"/>
  <c r="AK61" i="5"/>
  <c r="G4" i="5"/>
  <c r="M6" i="5"/>
  <c r="G11" i="5"/>
  <c r="Y12" i="5"/>
  <c r="S17" i="5"/>
  <c r="Y19" i="5"/>
  <c r="V4" i="5"/>
  <c r="J5" i="5"/>
  <c r="AB6" i="5"/>
  <c r="P7" i="5"/>
  <c r="AH10" i="5"/>
  <c r="V11" i="5"/>
  <c r="J12" i="5"/>
  <c r="AN12" i="5"/>
  <c r="AB13" i="5"/>
  <c r="P16" i="5"/>
  <c r="AH17" i="5"/>
  <c r="V18" i="5"/>
  <c r="G19" i="5"/>
  <c r="AN19" i="5"/>
  <c r="AB22" i="5"/>
  <c r="M23" i="5"/>
  <c r="AH24" i="5"/>
  <c r="S25" i="5"/>
  <c r="G28" i="5"/>
  <c r="AN28" i="5"/>
  <c r="Y29" i="5"/>
  <c r="M30" i="5"/>
  <c r="AE31" i="5"/>
  <c r="S34" i="5"/>
  <c r="G35" i="5"/>
  <c r="AK35" i="5"/>
  <c r="Y36" i="5"/>
  <c r="G37" i="5"/>
  <c r="AE37" i="5"/>
  <c r="J39" i="5"/>
  <c r="AH39" i="5"/>
  <c r="M41" i="5"/>
  <c r="AK41" i="5"/>
  <c r="P42" i="5"/>
  <c r="AN42" i="5"/>
  <c r="P43" i="5"/>
  <c r="AE43" i="5"/>
  <c r="S46" i="5"/>
  <c r="AH46" i="5"/>
  <c r="V47" i="5"/>
  <c r="AK47" i="5"/>
  <c r="G48" i="5"/>
  <c r="Y48" i="5"/>
  <c r="AN48" i="5"/>
  <c r="J49" i="5"/>
  <c r="AB49" i="5"/>
  <c r="M51" i="5"/>
  <c r="AE51" i="5"/>
  <c r="P53" i="5"/>
  <c r="AH53" i="5"/>
  <c r="S54" i="5"/>
  <c r="AK54" i="5"/>
  <c r="G55" i="5"/>
  <c r="V55" i="5"/>
  <c r="AN55" i="5"/>
  <c r="P57" i="5"/>
  <c r="AE57" i="5"/>
  <c r="S59" i="5"/>
  <c r="AH59" i="5"/>
  <c r="G60" i="5"/>
  <c r="V60" i="5"/>
  <c r="AK60" i="5"/>
  <c r="J61" i="5"/>
  <c r="Y61" i="5"/>
  <c r="AN61" i="5"/>
  <c r="AK57" i="5"/>
  <c r="V59" i="5"/>
  <c r="AN59" i="5"/>
  <c r="Y60" i="5"/>
  <c r="M61" i="5"/>
  <c r="AB61" i="5"/>
  <c r="Y5" i="5"/>
  <c r="AE7" i="5"/>
  <c r="S10" i="5"/>
  <c r="AK11" i="5"/>
  <c r="M13" i="5"/>
  <c r="AE16" i="5"/>
  <c r="J22" i="5"/>
  <c r="AE23" i="5"/>
  <c r="AB4" i="5"/>
  <c r="M5" i="5"/>
  <c r="AH6" i="5"/>
  <c r="S7" i="5"/>
  <c r="G10" i="5"/>
  <c r="AN10" i="5"/>
  <c r="Y11" i="5"/>
  <c r="M12" i="5"/>
  <c r="AE13" i="5"/>
  <c r="S16" i="5"/>
  <c r="G17" i="5"/>
  <c r="AK17" i="5"/>
  <c r="Y18" i="5"/>
  <c r="M19" i="5"/>
  <c r="AE22" i="5"/>
  <c r="S23" i="5"/>
  <c r="AK24" i="5"/>
  <c r="Y25" i="5"/>
  <c r="J28" i="5"/>
  <c r="AE29" i="5"/>
  <c r="P30" i="5"/>
  <c r="AK31" i="5"/>
  <c r="V34" i="5"/>
  <c r="J35" i="5"/>
  <c r="AB36" i="5"/>
  <c r="J37" i="5"/>
  <c r="AH37" i="5"/>
  <c r="M39" i="5"/>
  <c r="AK39" i="5"/>
  <c r="P41" i="5"/>
  <c r="AN41" i="5"/>
  <c r="S42" i="5"/>
  <c r="S43" i="5"/>
  <c r="AH43" i="5"/>
  <c r="G46" i="5"/>
  <c r="V46" i="5"/>
  <c r="AK46" i="5"/>
  <c r="J47" i="5"/>
  <c r="Y47" i="5"/>
  <c r="AN47" i="5"/>
  <c r="M48" i="5"/>
  <c r="AB48" i="5"/>
  <c r="P49" i="5"/>
  <c r="AE49" i="5"/>
  <c r="S51" i="5"/>
  <c r="AH51" i="5"/>
  <c r="V53" i="5"/>
  <c r="AK53" i="5"/>
  <c r="G54" i="5"/>
  <c r="Y54" i="5"/>
  <c r="AN54" i="5"/>
  <c r="J55" i="5"/>
  <c r="AB55" i="5"/>
  <c r="S57" i="5"/>
  <c r="G59" i="5"/>
  <c r="J60" i="5"/>
  <c r="AN4" i="5"/>
  <c r="AK18" i="5"/>
  <c r="AH34" i="5"/>
  <c r="S37" i="5"/>
  <c r="Y41" i="5"/>
  <c r="V43" i="5"/>
  <c r="P48" i="5"/>
  <c r="AH49" i="5"/>
  <c r="J53" i="5"/>
  <c r="AB54" i="5"/>
  <c r="AB59" i="5"/>
  <c r="AK25" i="5"/>
  <c r="AB30" i="5"/>
  <c r="V35" i="5"/>
  <c r="AN43" i="5"/>
  <c r="M47" i="5"/>
  <c r="AE48" i="5"/>
  <c r="G51" i="5"/>
  <c r="Y53" i="5"/>
  <c r="Y57" i="5"/>
  <c r="P61" i="5"/>
  <c r="P24" i="5"/>
  <c r="AN36" i="5"/>
  <c r="G43" i="5"/>
  <c r="AK51" i="5"/>
  <c r="AE55" i="5"/>
  <c r="AE60" i="5"/>
  <c r="V28" i="5"/>
  <c r="P31" i="5"/>
  <c r="J36" i="5"/>
  <c r="V39" i="5"/>
  <c r="AB42" i="5"/>
  <c r="J46" i="5"/>
  <c r="AB47" i="5"/>
  <c r="V51" i="5"/>
  <c r="AN53" i="5"/>
  <c r="P55" i="5"/>
  <c r="AN57" i="5"/>
  <c r="M60" i="5"/>
  <c r="AH61" i="5"/>
  <c r="J29" i="5"/>
  <c r="Y46" i="5"/>
  <c r="S49" i="5"/>
  <c r="M54" i="5"/>
  <c r="J59" i="5"/>
  <c r="P65" i="5"/>
  <c r="P72" i="5"/>
  <c r="G77" i="5"/>
  <c r="J108" i="5"/>
  <c r="V147" i="5"/>
  <c r="S65" i="5"/>
  <c r="G72" i="5"/>
  <c r="J77" i="5"/>
  <c r="M108" i="5"/>
  <c r="J147" i="5"/>
  <c r="G65" i="5"/>
  <c r="Y65" i="5"/>
  <c r="J72" i="5"/>
  <c r="D72" i="5" s="1"/>
  <c r="M77" i="5"/>
  <c r="G83" i="5"/>
  <c r="M90" i="5"/>
  <c r="P96" i="5"/>
  <c r="G102" i="5"/>
  <c r="S108" i="5"/>
  <c r="S123" i="5"/>
  <c r="M147" i="5"/>
  <c r="G138" i="5"/>
  <c r="M138" i="5"/>
  <c r="S138" i="5"/>
  <c r="Y138" i="5"/>
  <c r="AH138" i="5"/>
  <c r="AN138" i="5"/>
  <c r="AE126" i="5"/>
  <c r="AK126" i="5"/>
  <c r="M126" i="5"/>
  <c r="S126" i="5"/>
  <c r="Y126" i="5"/>
  <c r="G126" i="5"/>
  <c r="J73" i="5"/>
  <c r="V73" i="5"/>
  <c r="AH73" i="5"/>
  <c r="M79" i="5"/>
  <c r="Y79" i="5"/>
  <c r="AK79" i="5"/>
  <c r="M85" i="5"/>
  <c r="Y85" i="5"/>
  <c r="AK85" i="5"/>
  <c r="G91" i="5"/>
  <c r="S91" i="5"/>
  <c r="AE91" i="5"/>
  <c r="M97" i="5"/>
  <c r="Y97" i="5"/>
  <c r="AK97" i="5"/>
  <c r="J67" i="5"/>
  <c r="V67" i="5"/>
  <c r="AH67" i="5"/>
  <c r="M73" i="5"/>
  <c r="Y73" i="5"/>
  <c r="AK73" i="5"/>
  <c r="P79" i="5"/>
  <c r="AB79" i="5"/>
  <c r="AN79" i="5"/>
  <c r="P85" i="5"/>
  <c r="AB85" i="5"/>
  <c r="AN85" i="5"/>
  <c r="J91" i="5"/>
  <c r="V91" i="5"/>
  <c r="AH91" i="5"/>
  <c r="Y67" i="5"/>
  <c r="AB73" i="5"/>
  <c r="S79" i="5"/>
  <c r="J85" i="5"/>
  <c r="AH85" i="5"/>
  <c r="AB91" i="5"/>
  <c r="J97" i="5"/>
  <c r="AB97" i="5"/>
  <c r="J103" i="5"/>
  <c r="V103" i="5"/>
  <c r="AH103" i="5"/>
  <c r="G109" i="5"/>
  <c r="S109" i="5"/>
  <c r="AE109" i="5"/>
  <c r="AN109" i="5"/>
  <c r="AB67" i="5"/>
  <c r="G73" i="5"/>
  <c r="AE73" i="5"/>
  <c r="V79" i="5"/>
  <c r="S85" i="5"/>
  <c r="M91" i="5"/>
  <c r="AK91" i="5"/>
  <c r="P97" i="5"/>
  <c r="AE97" i="5"/>
  <c r="M103" i="5"/>
  <c r="Y103" i="5"/>
  <c r="AK103" i="5"/>
  <c r="J115" i="5"/>
  <c r="AK115" i="5"/>
  <c r="M67" i="5"/>
  <c r="AK67" i="5"/>
  <c r="P73" i="5"/>
  <c r="AN73" i="5"/>
  <c r="G79" i="5"/>
  <c r="AE79" i="5"/>
  <c r="V85" i="5"/>
  <c r="P91" i="5"/>
  <c r="AN91" i="5"/>
  <c r="S97" i="5"/>
  <c r="AH97" i="5"/>
  <c r="P103" i="5"/>
  <c r="AB103" i="5"/>
  <c r="AN103" i="5"/>
  <c r="M109" i="5"/>
  <c r="Y109" i="5"/>
  <c r="M115" i="5"/>
  <c r="S73" i="5"/>
  <c r="V97" i="5"/>
  <c r="AE103" i="5"/>
  <c r="AB109" i="5"/>
  <c r="Y115" i="5"/>
  <c r="AN115" i="5"/>
  <c r="G148" i="5"/>
  <c r="S148" i="5"/>
  <c r="G85" i="5"/>
  <c r="Y91" i="5"/>
  <c r="AN97" i="5"/>
  <c r="AK109" i="5"/>
  <c r="P115" i="5"/>
  <c r="AB115" i="5"/>
  <c r="P67" i="5"/>
  <c r="J79" i="5"/>
  <c r="AE85" i="5"/>
  <c r="G103" i="5"/>
  <c r="S115" i="5"/>
  <c r="AE115" i="5"/>
  <c r="M148" i="5"/>
  <c r="Y148" i="5"/>
  <c r="AK148" i="5"/>
  <c r="P109" i="5"/>
  <c r="G115" i="5"/>
  <c r="AN148" i="5"/>
  <c r="AE148" i="5"/>
  <c r="AH79" i="5"/>
  <c r="S103" i="5"/>
  <c r="V115" i="5"/>
  <c r="P148" i="5"/>
  <c r="G97" i="5"/>
  <c r="AH115" i="5"/>
  <c r="AB148" i="5"/>
  <c r="AN67" i="5"/>
  <c r="V141" i="5"/>
  <c r="M141" i="5"/>
  <c r="AH141" i="5"/>
  <c r="AB141" i="5"/>
  <c r="S141" i="5"/>
  <c r="AN141" i="5"/>
  <c r="G141" i="5"/>
  <c r="AN70" i="5"/>
  <c r="AK82" i="5"/>
  <c r="AH94" i="5"/>
  <c r="V70" i="5"/>
  <c r="AE70" i="5"/>
  <c r="S76" i="5"/>
  <c r="AK76" i="5"/>
  <c r="J82" i="5"/>
  <c r="Y82" i="5"/>
  <c r="AN82" i="5"/>
  <c r="V94" i="5"/>
  <c r="AB94" i="5"/>
  <c r="AN94" i="5"/>
  <c r="AH70" i="5"/>
  <c r="G76" i="5"/>
  <c r="V76" i="5"/>
  <c r="S82" i="5"/>
  <c r="AH82" i="5"/>
  <c r="J88" i="5"/>
  <c r="G94" i="5"/>
  <c r="Y94" i="5"/>
  <c r="S100" i="5"/>
  <c r="Y100" i="5"/>
  <c r="AE100" i="5"/>
  <c r="J106" i="5"/>
  <c r="AB106" i="5"/>
  <c r="G70" i="5"/>
  <c r="S70" i="5"/>
  <c r="AK70" i="5"/>
  <c r="Y76" i="5"/>
  <c r="AN76" i="5"/>
  <c r="G82" i="5"/>
  <c r="S88" i="5"/>
  <c r="AH88" i="5"/>
  <c r="M94" i="5"/>
  <c r="AE94" i="5"/>
  <c r="AN100" i="5"/>
  <c r="M70" i="5"/>
  <c r="M76" i="5"/>
  <c r="AE76" i="5"/>
  <c r="M82" i="5"/>
  <c r="V88" i="5"/>
  <c r="P94" i="5"/>
  <c r="AE106" i="5"/>
  <c r="AB88" i="5"/>
  <c r="AK94" i="5"/>
  <c r="V106" i="5"/>
  <c r="V145" i="5"/>
  <c r="Y70" i="5"/>
  <c r="AB82" i="5"/>
  <c r="AN88" i="5"/>
  <c r="J100" i="5"/>
  <c r="AK100" i="5"/>
  <c r="G106" i="5"/>
  <c r="AH106" i="5"/>
  <c r="P106" i="5"/>
  <c r="G145" i="5"/>
  <c r="AK145" i="5"/>
  <c r="AN106" i="5"/>
  <c r="M145" i="5"/>
  <c r="AH76" i="5"/>
  <c r="G88" i="5"/>
  <c r="AE145" i="5"/>
  <c r="I63" i="5"/>
  <c r="O63" i="5"/>
  <c r="S63" i="5"/>
  <c r="J63" i="5"/>
  <c r="L63" i="5"/>
  <c r="L64" i="5" s="1"/>
  <c r="R63" i="5"/>
  <c r="Y63" i="5"/>
  <c r="AD63" i="5"/>
  <c r="AJ63" i="5"/>
  <c r="J64" i="5"/>
  <c r="P64" i="5"/>
  <c r="V64" i="5"/>
  <c r="AB64" i="5"/>
  <c r="M65" i="5"/>
  <c r="V65" i="5"/>
  <c r="AH65" i="5"/>
  <c r="J66" i="5"/>
  <c r="D66" i="5" s="1"/>
  <c r="V66" i="5"/>
  <c r="AE66" i="5"/>
  <c r="AN66" i="5"/>
  <c r="G67" i="5"/>
  <c r="S67" i="5"/>
  <c r="AE67" i="5"/>
  <c r="G69" i="5"/>
  <c r="M69" i="5"/>
  <c r="R69" i="5"/>
  <c r="X69" i="5"/>
  <c r="X70" i="5" s="1"/>
  <c r="AD69" i="5"/>
  <c r="AJ69" i="5"/>
  <c r="J70" i="5"/>
  <c r="P70" i="5"/>
  <c r="AB70" i="5"/>
  <c r="I75" i="5"/>
  <c r="S75" i="5"/>
  <c r="Y75" i="5"/>
  <c r="AE75" i="5"/>
  <c r="AK75" i="5"/>
  <c r="J76" i="5"/>
  <c r="P76" i="5"/>
  <c r="AB76" i="5"/>
  <c r="J81" i="5"/>
  <c r="P81" i="5"/>
  <c r="V81" i="5"/>
  <c r="AB81" i="5"/>
  <c r="AH81" i="5"/>
  <c r="AN81" i="5"/>
  <c r="P82" i="5"/>
  <c r="V82" i="5"/>
  <c r="AE82" i="5"/>
  <c r="J87" i="5"/>
  <c r="P87" i="5"/>
  <c r="V87" i="5"/>
  <c r="AB87" i="5"/>
  <c r="AH87" i="5"/>
  <c r="M88" i="5"/>
  <c r="AE88" i="5"/>
  <c r="P89" i="5"/>
  <c r="G93" i="5"/>
  <c r="M93" i="5"/>
  <c r="R93" i="5"/>
  <c r="X93" i="5"/>
  <c r="AD93" i="5"/>
  <c r="AJ93" i="5"/>
  <c r="AN93" i="5"/>
  <c r="J94" i="5"/>
  <c r="S94" i="5"/>
  <c r="J99" i="5"/>
  <c r="P99" i="5"/>
  <c r="M63" i="5"/>
  <c r="U63" i="5"/>
  <c r="U64" i="5" s="1"/>
  <c r="AE63" i="5"/>
  <c r="AK63" i="5"/>
  <c r="I69" i="5"/>
  <c r="O69" i="5"/>
  <c r="S69" i="5"/>
  <c r="Y69" i="5"/>
  <c r="AE69" i="5"/>
  <c r="AK69" i="5"/>
  <c r="J75" i="5"/>
  <c r="O75" i="5"/>
  <c r="U75" i="5"/>
  <c r="AA75" i="5"/>
  <c r="AG75" i="5"/>
  <c r="AM75" i="5"/>
  <c r="F81" i="5"/>
  <c r="L81" i="5"/>
  <c r="R81" i="5"/>
  <c r="X81" i="5"/>
  <c r="AD81" i="5"/>
  <c r="AJ81" i="5"/>
  <c r="F87" i="5"/>
  <c r="L87" i="5"/>
  <c r="R87" i="5"/>
  <c r="X87" i="5"/>
  <c r="AD87" i="5"/>
  <c r="AD88" i="5" s="1"/>
  <c r="AM87" i="5"/>
  <c r="P88" i="5"/>
  <c r="Y88" i="5"/>
  <c r="AK88" i="5"/>
  <c r="I93" i="5"/>
  <c r="S93" i="5"/>
  <c r="Y93" i="5"/>
  <c r="AE93" i="5"/>
  <c r="AK93" i="5"/>
  <c r="F63" i="5"/>
  <c r="P63" i="5"/>
  <c r="V63" i="5"/>
  <c r="AA63" i="5"/>
  <c r="AG63" i="5"/>
  <c r="AM63" i="5"/>
  <c r="G63" i="5"/>
  <c r="AH63" i="5"/>
  <c r="P69" i="5"/>
  <c r="AA69" i="5"/>
  <c r="AM69" i="5"/>
  <c r="F75" i="5"/>
  <c r="P75" i="5"/>
  <c r="AB75" i="5"/>
  <c r="AN75" i="5"/>
  <c r="M81" i="5"/>
  <c r="Y81" i="5"/>
  <c r="AK81" i="5"/>
  <c r="I87" i="5"/>
  <c r="U87" i="5"/>
  <c r="AG87" i="5"/>
  <c r="F93" i="5"/>
  <c r="P93" i="5"/>
  <c r="AB93" i="5"/>
  <c r="AM93" i="5"/>
  <c r="I99" i="5"/>
  <c r="V99" i="5"/>
  <c r="AB99" i="5"/>
  <c r="AG99" i="5"/>
  <c r="AM99" i="5"/>
  <c r="I105" i="5"/>
  <c r="O105" i="5"/>
  <c r="U105" i="5"/>
  <c r="AE105" i="5"/>
  <c r="AJ105" i="5"/>
  <c r="AJ106" i="5" s="1"/>
  <c r="F111" i="5"/>
  <c r="L111" i="5"/>
  <c r="R111" i="5"/>
  <c r="X111" i="5"/>
  <c r="AM111" i="5"/>
  <c r="AN63" i="5"/>
  <c r="F69" i="5"/>
  <c r="AB69" i="5"/>
  <c r="AN69" i="5"/>
  <c r="G75" i="5"/>
  <c r="R75" i="5"/>
  <c r="AD75" i="5"/>
  <c r="O81" i="5"/>
  <c r="AA81" i="5"/>
  <c r="AM81" i="5"/>
  <c r="M87" i="5"/>
  <c r="Y87" i="5"/>
  <c r="AJ87" i="5"/>
  <c r="J93" i="5"/>
  <c r="U93" i="5"/>
  <c r="AG93" i="5"/>
  <c r="L99" i="5"/>
  <c r="R99" i="5"/>
  <c r="X99" i="5"/>
  <c r="AH99" i="5"/>
  <c r="AN99" i="5"/>
  <c r="M100" i="5"/>
  <c r="AH100" i="5"/>
  <c r="J105" i="5"/>
  <c r="P105" i="5"/>
  <c r="V105" i="5"/>
  <c r="AA105" i="5"/>
  <c r="AG105" i="5"/>
  <c r="AK105" i="5"/>
  <c r="S106" i="5"/>
  <c r="Y106" i="5"/>
  <c r="AK106" i="5"/>
  <c r="J107" i="5"/>
  <c r="V107" i="5"/>
  <c r="AE107" i="5"/>
  <c r="AN107" i="5"/>
  <c r="P108" i="5"/>
  <c r="Y108" i="5"/>
  <c r="J109" i="5"/>
  <c r="V109" i="5"/>
  <c r="AH109" i="5"/>
  <c r="G111" i="5"/>
  <c r="M111" i="5"/>
  <c r="S111" i="5"/>
  <c r="Y111" i="5"/>
  <c r="AD111" i="5"/>
  <c r="AJ111" i="5"/>
  <c r="AN111" i="5"/>
  <c r="G112" i="5"/>
  <c r="P112" i="5"/>
  <c r="V112" i="5"/>
  <c r="AB112" i="5"/>
  <c r="AH112" i="5"/>
  <c r="AN112" i="5"/>
  <c r="J120" i="5"/>
  <c r="P120" i="5"/>
  <c r="V120" i="5"/>
  <c r="AE120" i="5"/>
  <c r="AK120" i="5"/>
  <c r="I123" i="5"/>
  <c r="O123" i="5"/>
  <c r="X123" i="5"/>
  <c r="AD123" i="5"/>
  <c r="AD124" i="5" s="1"/>
  <c r="AN123" i="5"/>
  <c r="X63" i="5"/>
  <c r="J69" i="5"/>
  <c r="U69" i="5"/>
  <c r="AG69" i="5"/>
  <c r="L75" i="5"/>
  <c r="V75" i="5"/>
  <c r="AH75" i="5"/>
  <c r="G81" i="5"/>
  <c r="S81" i="5"/>
  <c r="AE81" i="5"/>
  <c r="O87" i="5"/>
  <c r="AA87" i="5"/>
  <c r="AK87" i="5"/>
  <c r="L93" i="5"/>
  <c r="V93" i="5"/>
  <c r="AH93" i="5"/>
  <c r="F99" i="5"/>
  <c r="M99" i="5"/>
  <c r="S99" i="5"/>
  <c r="Y99" i="5"/>
  <c r="AD99" i="5"/>
  <c r="AJ99" i="5"/>
  <c r="G100" i="5"/>
  <c r="P100" i="5"/>
  <c r="V100" i="5"/>
  <c r="AB100" i="5"/>
  <c r="P101" i="5"/>
  <c r="Y101" i="5"/>
  <c r="AK101" i="5"/>
  <c r="M102" i="5"/>
  <c r="Y102" i="5"/>
  <c r="F105" i="5"/>
  <c r="L105" i="5"/>
  <c r="R105" i="5"/>
  <c r="X105" i="5"/>
  <c r="AB105" i="5"/>
  <c r="AH105" i="5"/>
  <c r="AM105" i="5"/>
  <c r="M106" i="5"/>
  <c r="I111" i="5"/>
  <c r="O111" i="5"/>
  <c r="O112" i="5" s="1"/>
  <c r="O113" i="5" s="1"/>
  <c r="U111" i="5"/>
  <c r="J112" i="5"/>
  <c r="AB63" i="5"/>
  <c r="L69" i="5"/>
  <c r="AJ75" i="5"/>
  <c r="I81" i="5"/>
  <c r="S87" i="5"/>
  <c r="AA93" i="5"/>
  <c r="U99" i="5"/>
  <c r="S105" i="5"/>
  <c r="AN105" i="5"/>
  <c r="S112" i="5"/>
  <c r="G120" i="5"/>
  <c r="O120" i="5"/>
  <c r="AJ120" i="5"/>
  <c r="P121" i="5"/>
  <c r="Y121" i="5"/>
  <c r="AH121" i="5"/>
  <c r="J123" i="5"/>
  <c r="R123" i="5"/>
  <c r="AE123" i="5"/>
  <c r="AK123" i="5"/>
  <c r="M124" i="5"/>
  <c r="AB124" i="5"/>
  <c r="I126" i="5"/>
  <c r="O126" i="5"/>
  <c r="U126" i="5"/>
  <c r="M127" i="5"/>
  <c r="V127" i="5"/>
  <c r="AB127" i="5"/>
  <c r="AK127" i="5"/>
  <c r="F129" i="5"/>
  <c r="L129" i="5"/>
  <c r="R129" i="5"/>
  <c r="V129" i="5"/>
  <c r="AA129" i="5"/>
  <c r="AK129" i="5"/>
  <c r="M130" i="5"/>
  <c r="V130" i="5"/>
  <c r="J132" i="5"/>
  <c r="P132" i="5"/>
  <c r="U132" i="5"/>
  <c r="AE132" i="5"/>
  <c r="AK132" i="5"/>
  <c r="G133" i="5"/>
  <c r="M133" i="5"/>
  <c r="V133" i="5"/>
  <c r="AE133" i="5"/>
  <c r="G135" i="5"/>
  <c r="M135" i="5"/>
  <c r="S135" i="5"/>
  <c r="X135" i="5"/>
  <c r="AD135" i="5"/>
  <c r="AN135" i="5"/>
  <c r="G136" i="5"/>
  <c r="P136" i="5"/>
  <c r="Y136" i="5"/>
  <c r="AE136" i="5"/>
  <c r="AN136" i="5"/>
  <c r="J138" i="5"/>
  <c r="P138" i="5"/>
  <c r="V138" i="5"/>
  <c r="AA138" i="5"/>
  <c r="AE138" i="5"/>
  <c r="AK138" i="5"/>
  <c r="J139" i="5"/>
  <c r="V139" i="5"/>
  <c r="AE139" i="5"/>
  <c r="AK139" i="5"/>
  <c r="I141" i="5"/>
  <c r="O141" i="5"/>
  <c r="X141" i="5"/>
  <c r="AD141" i="5"/>
  <c r="AJ141" i="5"/>
  <c r="M142" i="5"/>
  <c r="AK142" i="5"/>
  <c r="I144" i="5"/>
  <c r="S144" i="5"/>
  <c r="Y144" i="5"/>
  <c r="AE144" i="5"/>
  <c r="AK144" i="5"/>
  <c r="V69" i="5"/>
  <c r="U81" i="5"/>
  <c r="AE87" i="5"/>
  <c r="AA99" i="5"/>
  <c r="Y105" i="5"/>
  <c r="Y112" i="5"/>
  <c r="I120" i="5"/>
  <c r="R120" i="5"/>
  <c r="X120" i="5"/>
  <c r="AD120" i="5"/>
  <c r="AM120" i="5"/>
  <c r="J121" i="5"/>
  <c r="S121" i="5"/>
  <c r="AK121" i="5"/>
  <c r="L123" i="5"/>
  <c r="AG123" i="5"/>
  <c r="AM123" i="5"/>
  <c r="G124" i="5"/>
  <c r="P124" i="5"/>
  <c r="V124" i="5"/>
  <c r="AH124" i="5"/>
  <c r="AN124" i="5"/>
  <c r="J126" i="5"/>
  <c r="P126" i="5"/>
  <c r="V126" i="5"/>
  <c r="AA126" i="5"/>
  <c r="AA127" i="5" s="1"/>
  <c r="AG126" i="5"/>
  <c r="AM126" i="5"/>
  <c r="G127" i="5"/>
  <c r="P127" i="5"/>
  <c r="AE127" i="5"/>
  <c r="G129" i="5"/>
  <c r="M129" i="5"/>
  <c r="S129" i="5"/>
  <c r="AB129" i="5"/>
  <c r="AG129" i="5"/>
  <c r="AM129" i="5"/>
  <c r="G130" i="5"/>
  <c r="P130" i="5"/>
  <c r="AE130" i="5"/>
  <c r="AN130" i="5"/>
  <c r="F132" i="5"/>
  <c r="L132" i="5"/>
  <c r="L133" i="5" s="1"/>
  <c r="V132" i="5"/>
  <c r="AA132" i="5"/>
  <c r="AG132" i="5"/>
  <c r="P133" i="5"/>
  <c r="AH133" i="5"/>
  <c r="AN133" i="5"/>
  <c r="I135" i="5"/>
  <c r="O135" i="5"/>
  <c r="Y135" i="5"/>
  <c r="AE135" i="5"/>
  <c r="AJ135" i="5"/>
  <c r="J136" i="5"/>
  <c r="F138" i="5"/>
  <c r="L138" i="5"/>
  <c r="R138" i="5"/>
  <c r="X138" i="5"/>
  <c r="AB138" i="5"/>
  <c r="AG138" i="5"/>
  <c r="AM138" i="5"/>
  <c r="M139" i="5"/>
  <c r="AN139" i="5"/>
  <c r="J141" i="5"/>
  <c r="P141" i="5"/>
  <c r="U141" i="5"/>
  <c r="Y141" i="5"/>
  <c r="AE141" i="5"/>
  <c r="AK141" i="5"/>
  <c r="P142" i="5"/>
  <c r="V142" i="5"/>
  <c r="AB142" i="5"/>
  <c r="J144" i="5"/>
  <c r="O144" i="5"/>
  <c r="U144" i="5"/>
  <c r="AA144" i="5"/>
  <c r="AG144" i="5"/>
  <c r="AM144" i="5"/>
  <c r="J145" i="5"/>
  <c r="P145" i="5"/>
  <c r="Y145" i="5"/>
  <c r="AH145" i="5"/>
  <c r="AN145" i="5"/>
  <c r="G146" i="5"/>
  <c r="P146" i="5"/>
  <c r="AB146" i="5"/>
  <c r="AN146" i="5"/>
  <c r="G147" i="5"/>
  <c r="S147" i="5"/>
  <c r="AE147" i="5"/>
  <c r="J148" i="5"/>
  <c r="V148" i="5"/>
  <c r="AH148" i="5"/>
  <c r="I150" i="5"/>
  <c r="O150" i="5"/>
  <c r="U150" i="5"/>
  <c r="Y150" i="5"/>
  <c r="AE150" i="5"/>
  <c r="AK150" i="5"/>
  <c r="P151" i="5"/>
  <c r="Y151" i="5"/>
  <c r="J152" i="5"/>
  <c r="V152" i="5"/>
  <c r="AH152" i="5"/>
  <c r="AH69" i="5"/>
  <c r="M75" i="5"/>
  <c r="AG81" i="5"/>
  <c r="AN87" i="5"/>
  <c r="G99" i="5"/>
  <c r="AE99" i="5"/>
  <c r="G105" i="5"/>
  <c r="AD105" i="5"/>
  <c r="AA111" i="5"/>
  <c r="AA112" i="5" s="1"/>
  <c r="AA113" i="5" s="1"/>
  <c r="AE112" i="5"/>
  <c r="L120" i="5"/>
  <c r="AG120" i="5"/>
  <c r="M121" i="5"/>
  <c r="AB121" i="5"/>
  <c r="AN121" i="5"/>
  <c r="F123" i="5"/>
  <c r="M123" i="5"/>
  <c r="U123" i="5"/>
  <c r="AA123" i="5"/>
  <c r="AH123" i="5"/>
  <c r="Y124" i="5"/>
  <c r="AE124" i="5"/>
  <c r="F126" i="5"/>
  <c r="L126" i="5"/>
  <c r="R126" i="5"/>
  <c r="X126" i="5"/>
  <c r="AB126" i="5"/>
  <c r="AH126" i="5"/>
  <c r="AN126" i="5"/>
  <c r="J127" i="5"/>
  <c r="Y127" i="5"/>
  <c r="AN127" i="5"/>
  <c r="I129" i="5"/>
  <c r="O129" i="5"/>
  <c r="X129" i="5"/>
  <c r="AD129" i="5"/>
  <c r="AH129" i="5"/>
  <c r="AN129" i="5"/>
  <c r="J130" i="5"/>
  <c r="S130" i="5"/>
  <c r="Y130" i="5"/>
  <c r="AH130" i="5"/>
  <c r="G132" i="5"/>
  <c r="M132" i="5"/>
  <c r="R132" i="5"/>
  <c r="X132" i="5"/>
  <c r="AM132" i="5"/>
  <c r="J133" i="5"/>
  <c r="S133" i="5"/>
  <c r="Y133" i="5"/>
  <c r="U135" i="5"/>
  <c r="AA135" i="5"/>
  <c r="AG135" i="5"/>
  <c r="M136" i="5"/>
  <c r="S136" i="5"/>
  <c r="AB136" i="5"/>
  <c r="AH136" i="5"/>
  <c r="G139" i="5"/>
  <c r="P139" i="5"/>
  <c r="Y139" i="5"/>
  <c r="AH139" i="5"/>
  <c r="F141" i="5"/>
  <c r="L141" i="5"/>
  <c r="R141" i="5"/>
  <c r="AA141" i="5"/>
  <c r="AG141" i="5"/>
  <c r="AM141" i="5"/>
  <c r="G142" i="5"/>
  <c r="AE142" i="5"/>
  <c r="AN142" i="5"/>
  <c r="F144" i="5"/>
  <c r="L144" i="5"/>
  <c r="P144" i="5"/>
  <c r="V144" i="5"/>
  <c r="AB144" i="5"/>
  <c r="AH144" i="5"/>
  <c r="AN144" i="5"/>
  <c r="S145" i="5"/>
  <c r="AB145" i="5"/>
  <c r="J146" i="5"/>
  <c r="S146" i="5"/>
  <c r="J150" i="5"/>
  <c r="P150" i="5"/>
  <c r="V150" i="5"/>
  <c r="AA150" i="5"/>
  <c r="AG150" i="5"/>
  <c r="AG151" i="5" s="1"/>
  <c r="O93" i="5"/>
  <c r="AK99" i="5"/>
  <c r="AK112" i="5"/>
  <c r="AE121" i="5"/>
  <c r="AJ123" i="5"/>
  <c r="AJ126" i="5"/>
  <c r="S127" i="5"/>
  <c r="AK130" i="5"/>
  <c r="F135" i="5"/>
  <c r="AK136" i="5"/>
  <c r="U138" i="5"/>
  <c r="AB139" i="5"/>
  <c r="S142" i="5"/>
  <c r="G144" i="5"/>
  <c r="AD144" i="5"/>
  <c r="AD145" i="5" s="1"/>
  <c r="L150" i="5"/>
  <c r="AH150" i="5"/>
  <c r="G151" i="5"/>
  <c r="V151" i="5"/>
  <c r="AH151" i="5"/>
  <c r="P152" i="5"/>
  <c r="AE152" i="5"/>
  <c r="M153" i="5"/>
  <c r="Y153" i="5"/>
  <c r="AK153" i="5"/>
  <c r="P154" i="5"/>
  <c r="AB154" i="5"/>
  <c r="AN154" i="5"/>
  <c r="S150" i="5"/>
  <c r="AN150" i="5"/>
  <c r="M152" i="5"/>
  <c r="AH153" i="5"/>
  <c r="M154" i="5"/>
  <c r="X75" i="5"/>
  <c r="G87" i="5"/>
  <c r="U120" i="5"/>
  <c r="G121" i="5"/>
  <c r="J124" i="5"/>
  <c r="AK124" i="5"/>
  <c r="AB133" i="5"/>
  <c r="L135" i="5"/>
  <c r="Y142" i="5"/>
  <c r="M144" i="5"/>
  <c r="AJ144" i="5"/>
  <c r="M150" i="5"/>
  <c r="X150" i="5"/>
  <c r="AJ150" i="5"/>
  <c r="J151" i="5"/>
  <c r="AK151" i="5"/>
  <c r="S152" i="5"/>
  <c r="AK152" i="5"/>
  <c r="P153" i="5"/>
  <c r="AB153" i="5"/>
  <c r="AN153" i="5"/>
  <c r="G154" i="5"/>
  <c r="S154" i="5"/>
  <c r="AE154" i="5"/>
  <c r="O99" i="5"/>
  <c r="M112" i="5"/>
  <c r="V121" i="5"/>
  <c r="O132" i="5"/>
  <c r="AJ138" i="5"/>
  <c r="J142" i="5"/>
  <c r="X144" i="5"/>
  <c r="AD150" i="5"/>
  <c r="AN151" i="5"/>
  <c r="AB152" i="5"/>
  <c r="J153" i="5"/>
  <c r="Y154" i="5"/>
  <c r="AK154" i="5"/>
  <c r="M105" i="5"/>
  <c r="AG111" i="5"/>
  <c r="AA120" i="5"/>
  <c r="S124" i="5"/>
  <c r="AH127" i="5"/>
  <c r="AJ129" i="5"/>
  <c r="I132" i="5"/>
  <c r="AD132" i="5"/>
  <c r="AK133" i="5"/>
  <c r="R135" i="5"/>
  <c r="AM135" i="5"/>
  <c r="V136" i="5"/>
  <c r="I138" i="5"/>
  <c r="AD138" i="5"/>
  <c r="AH142" i="5"/>
  <c r="R144" i="5"/>
  <c r="F150" i="5"/>
  <c r="R150" i="5"/>
  <c r="AB150" i="5"/>
  <c r="AM150" i="5"/>
  <c r="M151" i="5"/>
  <c r="AB151" i="5"/>
  <c r="G152" i="5"/>
  <c r="Y152" i="5"/>
  <c r="AN152" i="5"/>
  <c r="G153" i="5"/>
  <c r="S153" i="5"/>
  <c r="AE153" i="5"/>
  <c r="J154" i="5"/>
  <c r="V154" i="5"/>
  <c r="AH154" i="5"/>
  <c r="F120" i="5"/>
  <c r="AD126" i="5"/>
  <c r="U129" i="5"/>
  <c r="AB130" i="5"/>
  <c r="AJ132" i="5"/>
  <c r="O138" i="5"/>
  <c r="S139" i="5"/>
  <c r="G150" i="5"/>
  <c r="S151" i="5"/>
  <c r="AE151" i="5"/>
  <c r="V153" i="5"/>
  <c r="AB120" i="5"/>
  <c r="S120" i="5"/>
  <c r="Y120" i="5"/>
  <c r="AN120" i="5"/>
  <c r="M120" i="5"/>
  <c r="AH120" i="5"/>
  <c r="M95" i="5"/>
  <c r="Y95" i="5"/>
  <c r="AH95" i="5"/>
  <c r="P95" i="5"/>
  <c r="J95" i="5"/>
  <c r="AE95" i="5"/>
  <c r="S95" i="5"/>
  <c r="AK95" i="5"/>
  <c r="V95" i="5"/>
  <c r="AN95" i="5"/>
  <c r="G95" i="5"/>
  <c r="AB95" i="5"/>
  <c r="AB132" i="5"/>
  <c r="AH132" i="5"/>
  <c r="S132" i="5"/>
  <c r="AN132" i="5"/>
  <c r="Y132" i="5"/>
  <c r="J135" i="5"/>
  <c r="P135" i="5"/>
  <c r="AK135" i="5"/>
  <c r="AB135" i="5"/>
  <c r="AH135" i="5"/>
  <c r="V135" i="5"/>
  <c r="M146" i="5"/>
  <c r="Y146" i="5"/>
  <c r="AK146" i="5"/>
  <c r="AE146" i="5"/>
  <c r="AH146" i="5"/>
  <c r="V146" i="5"/>
  <c r="AB111" i="5"/>
  <c r="AH111" i="5"/>
  <c r="AE111" i="5"/>
  <c r="AK111" i="5"/>
  <c r="P111" i="5"/>
  <c r="V111" i="5"/>
  <c r="J111" i="5"/>
  <c r="Y129" i="5"/>
  <c r="J129" i="5"/>
  <c r="AE129" i="5"/>
  <c r="P129" i="5"/>
  <c r="M114" i="5"/>
  <c r="Y114" i="5"/>
  <c r="AE114" i="5"/>
  <c r="G114" i="5"/>
  <c r="P114" i="5"/>
  <c r="AH114" i="5"/>
  <c r="S114" i="5"/>
  <c r="AK114" i="5"/>
  <c r="V114" i="5"/>
  <c r="AN114" i="5"/>
  <c r="AB114" i="5"/>
  <c r="J114" i="5"/>
  <c r="M71" i="5"/>
  <c r="AB71" i="5"/>
  <c r="AN71" i="5"/>
  <c r="G71" i="5"/>
  <c r="P71" i="5"/>
  <c r="V71" i="5"/>
  <c r="AE71" i="5"/>
  <c r="J71" i="5"/>
  <c r="Y71" i="5"/>
  <c r="AH71" i="5"/>
  <c r="AK71" i="5"/>
  <c r="S71" i="5"/>
  <c r="AB89" i="5"/>
  <c r="AK89" i="5"/>
  <c r="G89" i="5"/>
  <c r="S89" i="5"/>
  <c r="AE89" i="5"/>
  <c r="AN89" i="5"/>
  <c r="M89" i="5"/>
  <c r="AH89" i="5"/>
  <c r="J101" i="5"/>
  <c r="S101" i="5"/>
  <c r="AE101" i="5"/>
  <c r="AN101" i="5"/>
  <c r="G107" i="5"/>
  <c r="P107" i="5"/>
  <c r="AB107" i="5"/>
  <c r="AK107" i="5"/>
  <c r="V89" i="5"/>
  <c r="M101" i="5"/>
  <c r="V101" i="5"/>
  <c r="AH101" i="5"/>
  <c r="Y89" i="5"/>
  <c r="S107" i="5"/>
  <c r="AH107" i="5"/>
  <c r="G101" i="5"/>
  <c r="M107" i="5"/>
  <c r="J89" i="5"/>
  <c r="D89" i="5" s="1"/>
  <c r="AB101" i="5"/>
  <c r="Y107" i="5"/>
  <c r="AK64" i="5"/>
  <c r="G64" i="5"/>
  <c r="M64" i="5"/>
  <c r="S64" i="5"/>
  <c r="Y64" i="5"/>
  <c r="AE64" i="5"/>
  <c r="AN64" i="5"/>
  <c r="M113" i="5"/>
  <c r="S113" i="5"/>
  <c r="AB113" i="5"/>
  <c r="AK113" i="5"/>
  <c r="G113" i="5"/>
  <c r="V113" i="5"/>
  <c r="J113" i="5"/>
  <c r="P113" i="5"/>
  <c r="Y113" i="5"/>
  <c r="AE113" i="5"/>
  <c r="AN113" i="5"/>
  <c r="AH113" i="5"/>
  <c r="AH64" i="5"/>
  <c r="F3" i="5"/>
  <c r="L3" i="5"/>
  <c r="P3" i="5"/>
  <c r="V3" i="5"/>
  <c r="AB3" i="5"/>
  <c r="AH3" i="5"/>
  <c r="AN3" i="5"/>
  <c r="G3" i="5"/>
  <c r="M3" i="5"/>
  <c r="R3" i="5"/>
  <c r="X3" i="5"/>
  <c r="AD3" i="5"/>
  <c r="AJ3" i="5"/>
  <c r="I3" i="5"/>
  <c r="S3" i="5"/>
  <c r="Y3" i="5"/>
  <c r="AE3" i="5"/>
  <c r="AK3" i="5"/>
  <c r="AA3" i="5"/>
  <c r="G9" i="5"/>
  <c r="M9" i="5"/>
  <c r="S9" i="5"/>
  <c r="Y9" i="5"/>
  <c r="AE9" i="5"/>
  <c r="AJ9" i="5"/>
  <c r="I15" i="5"/>
  <c r="O15" i="5"/>
  <c r="U15" i="5"/>
  <c r="AE15" i="5"/>
  <c r="AK15" i="5"/>
  <c r="I21" i="5"/>
  <c r="O21" i="5"/>
  <c r="U21" i="5"/>
  <c r="AA21" i="5"/>
  <c r="AG21" i="5"/>
  <c r="AM21" i="5"/>
  <c r="J27" i="5"/>
  <c r="P27" i="5"/>
  <c r="V27" i="5"/>
  <c r="AB27" i="5"/>
  <c r="AH27" i="5"/>
  <c r="AM27" i="5"/>
  <c r="F33" i="5"/>
  <c r="L33" i="5"/>
  <c r="R33" i="5"/>
  <c r="X33" i="5"/>
  <c r="AD33" i="5"/>
  <c r="AD34" i="5" s="1"/>
  <c r="AJ33" i="5"/>
  <c r="F39" i="5"/>
  <c r="L39" i="5"/>
  <c r="R39" i="5"/>
  <c r="X39" i="5"/>
  <c r="AD39" i="5"/>
  <c r="P40" i="5"/>
  <c r="J3" i="5"/>
  <c r="AG3" i="5"/>
  <c r="I9" i="5"/>
  <c r="O9" i="5"/>
  <c r="U9" i="5"/>
  <c r="AA9" i="5"/>
  <c r="AG9" i="5"/>
  <c r="AK9" i="5"/>
  <c r="J15" i="5"/>
  <c r="P15" i="5"/>
  <c r="V15" i="5"/>
  <c r="AA15" i="5"/>
  <c r="AG15" i="5"/>
  <c r="J21" i="5"/>
  <c r="P21" i="5"/>
  <c r="V21" i="5"/>
  <c r="AB21" i="5"/>
  <c r="AH21" i="5"/>
  <c r="AN21" i="5"/>
  <c r="F27" i="5"/>
  <c r="L27" i="5"/>
  <c r="R27" i="5"/>
  <c r="X27" i="5"/>
  <c r="AD27" i="5"/>
  <c r="AD28" i="5" s="1"/>
  <c r="AN27" i="5"/>
  <c r="G33" i="5"/>
  <c r="M33" i="5"/>
  <c r="S33" i="5"/>
  <c r="Y33" i="5"/>
  <c r="AE33" i="5"/>
  <c r="AK33" i="5"/>
  <c r="O3" i="5"/>
  <c r="AM3" i="5"/>
  <c r="J9" i="5"/>
  <c r="P9" i="5"/>
  <c r="V9" i="5"/>
  <c r="AB9" i="5"/>
  <c r="AH9" i="5"/>
  <c r="AM9" i="5"/>
  <c r="F15" i="5"/>
  <c r="L15" i="5"/>
  <c r="R15" i="5"/>
  <c r="X15" i="5"/>
  <c r="AB15" i="5"/>
  <c r="AH15" i="5"/>
  <c r="AM15" i="5"/>
  <c r="AM16" i="5" s="1"/>
  <c r="F21" i="5"/>
  <c r="L21" i="5"/>
  <c r="R21" i="5"/>
  <c r="R22" i="5" s="1"/>
  <c r="X21" i="5"/>
  <c r="AD21" i="5"/>
  <c r="AD22" i="5" s="1"/>
  <c r="AJ21" i="5"/>
  <c r="G27" i="5"/>
  <c r="M27" i="5"/>
  <c r="S27" i="5"/>
  <c r="Y27" i="5"/>
  <c r="AE27" i="5"/>
  <c r="AJ27" i="5"/>
  <c r="I33" i="5"/>
  <c r="O33" i="5"/>
  <c r="U33" i="5"/>
  <c r="AA33" i="5"/>
  <c r="AG33" i="5"/>
  <c r="AM33" i="5"/>
  <c r="I39" i="5"/>
  <c r="O39" i="5"/>
  <c r="U39" i="5"/>
  <c r="AA39" i="5"/>
  <c r="AG39" i="5"/>
  <c r="M40" i="5"/>
  <c r="U3" i="5"/>
  <c r="L9" i="5"/>
  <c r="Y15" i="5"/>
  <c r="S21" i="5"/>
  <c r="U27" i="5"/>
  <c r="P33" i="5"/>
  <c r="AN33" i="5"/>
  <c r="J40" i="5"/>
  <c r="V40" i="5"/>
  <c r="AE40" i="5"/>
  <c r="AN40" i="5"/>
  <c r="F45" i="5"/>
  <c r="L45" i="5"/>
  <c r="R45" i="5"/>
  <c r="V45" i="5"/>
  <c r="AB45" i="5"/>
  <c r="AH45" i="5"/>
  <c r="AN45" i="5"/>
  <c r="F51" i="5"/>
  <c r="AA51" i="5"/>
  <c r="AG51" i="5"/>
  <c r="S52" i="5"/>
  <c r="AH52" i="5"/>
  <c r="J57" i="5"/>
  <c r="AG57" i="5"/>
  <c r="AM57" i="5"/>
  <c r="M58" i="5"/>
  <c r="Y58" i="5"/>
  <c r="AE58" i="5"/>
  <c r="AK58" i="5"/>
  <c r="AD9" i="5"/>
  <c r="AD10" i="5" s="1"/>
  <c r="S15" i="5"/>
  <c r="AH33" i="5"/>
  <c r="G40" i="5"/>
  <c r="AK40" i="5"/>
  <c r="J45" i="5"/>
  <c r="U45" i="5"/>
  <c r="AM45" i="5"/>
  <c r="O51" i="5"/>
  <c r="Y52" i="5"/>
  <c r="U57" i="5"/>
  <c r="J58" i="5"/>
  <c r="R9" i="5"/>
  <c r="AN9" i="5"/>
  <c r="G15" i="5"/>
  <c r="AD15" i="5"/>
  <c r="Y21" i="5"/>
  <c r="AA27" i="5"/>
  <c r="V33" i="5"/>
  <c r="AJ39" i="5"/>
  <c r="Y40" i="5"/>
  <c r="G45" i="5"/>
  <c r="M45" i="5"/>
  <c r="S45" i="5"/>
  <c r="X45" i="5"/>
  <c r="AD45" i="5"/>
  <c r="AJ45" i="5"/>
  <c r="L51" i="5"/>
  <c r="R51" i="5"/>
  <c r="X51" i="5"/>
  <c r="AM51" i="5"/>
  <c r="M52" i="5"/>
  <c r="V52" i="5"/>
  <c r="AB52" i="5"/>
  <c r="F57" i="5"/>
  <c r="L57" i="5"/>
  <c r="R57" i="5"/>
  <c r="X57" i="5"/>
  <c r="P58" i="5"/>
  <c r="AN58" i="5"/>
  <c r="AK21" i="5"/>
  <c r="AM39" i="5"/>
  <c r="AB40" i="5"/>
  <c r="AA45" i="5"/>
  <c r="AE52" i="5"/>
  <c r="I57" i="5"/>
  <c r="AA57" i="5"/>
  <c r="X9" i="5"/>
  <c r="M15" i="5"/>
  <c r="AJ15" i="5"/>
  <c r="G21" i="5"/>
  <c r="AE21" i="5"/>
  <c r="I27" i="5"/>
  <c r="I28" i="5" s="1"/>
  <c r="AG27" i="5"/>
  <c r="AB33" i="5"/>
  <c r="AH40" i="5"/>
  <c r="I45" i="5"/>
  <c r="O45" i="5"/>
  <c r="Y45" i="5"/>
  <c r="AE45" i="5"/>
  <c r="AK45" i="5"/>
  <c r="I51" i="5"/>
  <c r="AD51" i="5"/>
  <c r="G52" i="5"/>
  <c r="P52" i="5"/>
  <c r="AK52" i="5"/>
  <c r="G57" i="5"/>
  <c r="AD57" i="5"/>
  <c r="AJ57" i="5"/>
  <c r="G58" i="5"/>
  <c r="S58" i="5"/>
  <c r="AB58" i="5"/>
  <c r="AH58" i="5"/>
  <c r="F9" i="5"/>
  <c r="AN15" i="5"/>
  <c r="M21" i="5"/>
  <c r="O27" i="5"/>
  <c r="AK27" i="5"/>
  <c r="J33" i="5"/>
  <c r="S40" i="5"/>
  <c r="P45" i="5"/>
  <c r="AG45" i="5"/>
  <c r="U51" i="5"/>
  <c r="AJ51" i="5"/>
  <c r="J52" i="5"/>
  <c r="AN52" i="5"/>
  <c r="O57" i="5"/>
  <c r="V58" i="5"/>
  <c r="H249" i="35" l="1"/>
  <c r="H252" i="35"/>
  <c r="H251" i="35"/>
  <c r="H250" i="35"/>
  <c r="I248" i="35"/>
  <c r="I256" i="35"/>
  <c r="I264" i="35"/>
  <c r="J240" i="35"/>
  <c r="G254" i="35"/>
  <c r="D82" i="5"/>
  <c r="D5" i="5"/>
  <c r="D9" i="5"/>
  <c r="D138" i="5"/>
  <c r="D93" i="5"/>
  <c r="D141" i="5"/>
  <c r="D4" i="5"/>
  <c r="D96" i="5"/>
  <c r="D22" i="5"/>
  <c r="D120" i="5"/>
  <c r="D40" i="5"/>
  <c r="D111" i="5"/>
  <c r="D133" i="5"/>
  <c r="D49" i="5"/>
  <c r="D37" i="5"/>
  <c r="D34" i="5"/>
  <c r="D123" i="5"/>
  <c r="D73" i="5"/>
  <c r="D139" i="5"/>
  <c r="D112" i="5"/>
  <c r="D36" i="5"/>
  <c r="D47" i="5"/>
  <c r="D145" i="5"/>
  <c r="D115" i="5"/>
  <c r="D129" i="5"/>
  <c r="D33" i="5"/>
  <c r="D108" i="5"/>
  <c r="D151" i="5"/>
  <c r="D55" i="5"/>
  <c r="D101" i="5"/>
  <c r="D142" i="5"/>
  <c r="D105" i="5"/>
  <c r="D28" i="5"/>
  <c r="D130" i="5"/>
  <c r="D150" i="5"/>
  <c r="D100" i="5"/>
  <c r="D77" i="5"/>
  <c r="D152" i="5"/>
  <c r="D126" i="5"/>
  <c r="D113" i="5"/>
  <c r="D81" i="5"/>
  <c r="D65" i="5"/>
  <c r="D79" i="5"/>
  <c r="D91" i="5"/>
  <c r="D23" i="5"/>
  <c r="D109" i="5"/>
  <c r="D3" i="5"/>
  <c r="E3" i="5" s="1"/>
  <c r="D148" i="5"/>
  <c r="D121" i="5"/>
  <c r="D76" i="5"/>
  <c r="D29" i="5"/>
  <c r="D53" i="5"/>
  <c r="D43" i="5"/>
  <c r="D54" i="5"/>
  <c r="D17" i="5"/>
  <c r="D31" i="5"/>
  <c r="D7" i="5"/>
  <c r="D84" i="5"/>
  <c r="D58" i="5"/>
  <c r="D61" i="5"/>
  <c r="D41" i="5"/>
  <c r="D63" i="5"/>
  <c r="D88" i="5"/>
  <c r="D147" i="5"/>
  <c r="D39" i="5"/>
  <c r="D27" i="5"/>
  <c r="D95" i="5"/>
  <c r="D144" i="5"/>
  <c r="D114" i="5"/>
  <c r="D146" i="5"/>
  <c r="D69" i="5"/>
  <c r="D87" i="5"/>
  <c r="D103" i="5"/>
  <c r="D13" i="5"/>
  <c r="D57" i="5"/>
  <c r="D21" i="5"/>
  <c r="D99" i="5"/>
  <c r="D135" i="5"/>
  <c r="D127" i="5"/>
  <c r="D136" i="5"/>
  <c r="D132" i="5"/>
  <c r="D107" i="5"/>
  <c r="D94" i="5"/>
  <c r="D51" i="5"/>
  <c r="D18" i="5"/>
  <c r="D24" i="5"/>
  <c r="D90" i="5"/>
  <c r="D83" i="5"/>
  <c r="D97" i="5"/>
  <c r="D75" i="5"/>
  <c r="D16" i="5"/>
  <c r="D124" i="5"/>
  <c r="D15" i="5"/>
  <c r="D70" i="5"/>
  <c r="D46" i="5"/>
  <c r="D42" i="5"/>
  <c r="D19" i="5"/>
  <c r="D45" i="5"/>
  <c r="D52" i="5"/>
  <c r="D153" i="5"/>
  <c r="D85" i="5"/>
  <c r="D60" i="5"/>
  <c r="D35" i="5"/>
  <c r="D12" i="5"/>
  <c r="D78" i="5"/>
  <c r="D154" i="5"/>
  <c r="D11" i="5"/>
  <c r="D30" i="5"/>
  <c r="D102" i="5"/>
  <c r="D71" i="5"/>
  <c r="D67" i="5"/>
  <c r="D6" i="5"/>
  <c r="D10" i="5"/>
  <c r="D64" i="5"/>
  <c r="D106" i="5"/>
  <c r="D59" i="5"/>
  <c r="D48" i="5"/>
  <c r="D25" i="5"/>
  <c r="AF123" i="5"/>
  <c r="AC111" i="5"/>
  <c r="I226" i="35" s="1"/>
  <c r="AL105" i="5"/>
  <c r="L404" i="35" s="1"/>
  <c r="AF87" i="5"/>
  <c r="J380" i="35" s="1"/>
  <c r="AF21" i="5"/>
  <c r="J300" i="35" s="1"/>
  <c r="AF27" i="5"/>
  <c r="J308" i="35" s="1"/>
  <c r="N133" i="5"/>
  <c r="AC127" i="5"/>
  <c r="AI150" i="5"/>
  <c r="K235" i="35" s="1"/>
  <c r="K27" i="5"/>
  <c r="C308" i="35" s="1"/>
  <c r="Q111" i="5"/>
  <c r="E226" i="35" s="1"/>
  <c r="AH117" i="5"/>
  <c r="G118" i="5"/>
  <c r="Q112" i="5"/>
  <c r="E225" i="35" s="1"/>
  <c r="Z69" i="5"/>
  <c r="H356" i="35" s="1"/>
  <c r="M117" i="5"/>
  <c r="AO120" i="5"/>
  <c r="AN117" i="5"/>
  <c r="AB117" i="5"/>
  <c r="W129" i="5"/>
  <c r="U130" i="5"/>
  <c r="W130" i="5" s="1"/>
  <c r="T150" i="5"/>
  <c r="F235" i="35" s="1"/>
  <c r="R151" i="5"/>
  <c r="AO135" i="5"/>
  <c r="AM136" i="5"/>
  <c r="AO136" i="5" s="1"/>
  <c r="I133" i="5"/>
  <c r="K133" i="5" s="1"/>
  <c r="K132" i="5"/>
  <c r="L151" i="5"/>
  <c r="N150" i="5"/>
  <c r="D235" i="35" s="1"/>
  <c r="H135" i="5"/>
  <c r="F136" i="5"/>
  <c r="H136" i="5" s="1"/>
  <c r="AI141" i="5"/>
  <c r="AG142" i="5"/>
  <c r="AI142" i="5" s="1"/>
  <c r="H141" i="5"/>
  <c r="F142" i="5"/>
  <c r="H142" i="5" s="1"/>
  <c r="AC135" i="5"/>
  <c r="AA136" i="5"/>
  <c r="AC136" i="5" s="1"/>
  <c r="R133" i="5"/>
  <c r="T133" i="5" s="1"/>
  <c r="T132" i="5"/>
  <c r="Z129" i="5"/>
  <c r="X130" i="5"/>
  <c r="Z130" i="5" s="1"/>
  <c r="L127" i="5"/>
  <c r="N127" i="5" s="1"/>
  <c r="N126" i="5"/>
  <c r="W123" i="5"/>
  <c r="U124" i="5"/>
  <c r="W124" i="5" s="1"/>
  <c r="AB118" i="5"/>
  <c r="L121" i="5"/>
  <c r="N121" i="5" s="1"/>
  <c r="N120" i="5"/>
  <c r="L117" i="5"/>
  <c r="O151" i="5"/>
  <c r="Q150" i="5"/>
  <c r="E235" i="35" s="1"/>
  <c r="U145" i="5"/>
  <c r="W144" i="5"/>
  <c r="G414" i="35" s="1"/>
  <c r="U142" i="5"/>
  <c r="W142" i="5" s="1"/>
  <c r="W141" i="5"/>
  <c r="AG139" i="5"/>
  <c r="AI139" i="5" s="1"/>
  <c r="AI138" i="5"/>
  <c r="N138" i="5"/>
  <c r="L139" i="5"/>
  <c r="N139" i="5" s="1"/>
  <c r="O136" i="5"/>
  <c r="Q136" i="5" s="1"/>
  <c r="Q135" i="5"/>
  <c r="AC132" i="5"/>
  <c r="AA133" i="5"/>
  <c r="AC133" i="5" s="1"/>
  <c r="AM127" i="5"/>
  <c r="AO127" i="5" s="1"/>
  <c r="AO126" i="5"/>
  <c r="AM124" i="5"/>
  <c r="AO124" i="5" s="1"/>
  <c r="AO123" i="5"/>
  <c r="AK118" i="5"/>
  <c r="AD121" i="5"/>
  <c r="AF121" i="5" s="1"/>
  <c r="AD117" i="5"/>
  <c r="AF120" i="5"/>
  <c r="I145" i="5"/>
  <c r="K144" i="5"/>
  <c r="C414" i="35" s="1"/>
  <c r="X142" i="5"/>
  <c r="Z142" i="5" s="1"/>
  <c r="Z141" i="5"/>
  <c r="X136" i="5"/>
  <c r="Z136" i="5" s="1"/>
  <c r="Z135" i="5"/>
  <c r="U133" i="5"/>
  <c r="W133" i="5" s="1"/>
  <c r="W132" i="5"/>
  <c r="L130" i="5"/>
  <c r="N130" i="5" s="1"/>
  <c r="N129" i="5"/>
  <c r="K126" i="5"/>
  <c r="I127" i="5"/>
  <c r="K127" i="5" s="1"/>
  <c r="U100" i="5"/>
  <c r="W99" i="5"/>
  <c r="G396" i="35" s="1"/>
  <c r="AL75" i="5"/>
  <c r="L364" i="35" s="1"/>
  <c r="AJ76" i="5"/>
  <c r="O114" i="5"/>
  <c r="O115" i="5" s="1"/>
  <c r="Q115" i="5" s="1"/>
  <c r="E229" i="35" s="1"/>
  <c r="Q113" i="5"/>
  <c r="E227" i="35" s="1"/>
  <c r="Z105" i="5"/>
  <c r="H404" i="35" s="1"/>
  <c r="X106" i="5"/>
  <c r="AI69" i="5"/>
  <c r="K356" i="35" s="1"/>
  <c r="AG70" i="5"/>
  <c r="Z63" i="5"/>
  <c r="H348" i="35" s="1"/>
  <c r="X64" i="5"/>
  <c r="Q123" i="5"/>
  <c r="O124" i="5"/>
  <c r="Q124" i="5" s="1"/>
  <c r="P117" i="5"/>
  <c r="AC112" i="5"/>
  <c r="I225" i="35" s="1"/>
  <c r="R100" i="5"/>
  <c r="T99" i="5"/>
  <c r="F396" i="35" s="1"/>
  <c r="W93" i="5"/>
  <c r="G388" i="35" s="1"/>
  <c r="U94" i="5"/>
  <c r="Q81" i="5"/>
  <c r="E372" i="35" s="1"/>
  <c r="O82" i="5"/>
  <c r="T111" i="5"/>
  <c r="F226" i="35" s="1"/>
  <c r="R112" i="5"/>
  <c r="AL106" i="5"/>
  <c r="L403" i="35" s="1"/>
  <c r="AJ107" i="5"/>
  <c r="I106" i="5"/>
  <c r="K105" i="5"/>
  <c r="C404" i="35" s="1"/>
  <c r="AI87" i="5"/>
  <c r="K380" i="35" s="1"/>
  <c r="AG88" i="5"/>
  <c r="AM70" i="5"/>
  <c r="AO69" i="5"/>
  <c r="M356" i="35" s="1"/>
  <c r="AA64" i="5"/>
  <c r="AC63" i="5"/>
  <c r="I348" i="35" s="1"/>
  <c r="AM88" i="5"/>
  <c r="AO87" i="5"/>
  <c r="M380" i="35" s="1"/>
  <c r="N87" i="5"/>
  <c r="D380" i="35" s="1"/>
  <c r="L88" i="5"/>
  <c r="AJ82" i="5"/>
  <c r="AL81" i="5"/>
  <c r="L372" i="35" s="1"/>
  <c r="N81" i="5"/>
  <c r="D372" i="35" s="1"/>
  <c r="L82" i="5"/>
  <c r="AM76" i="5"/>
  <c r="AO75" i="5"/>
  <c r="M364" i="35" s="1"/>
  <c r="Q75" i="5"/>
  <c r="E364" i="35" s="1"/>
  <c r="O76" i="5"/>
  <c r="Q69" i="5"/>
  <c r="E356" i="35" s="1"/>
  <c r="O70" i="5"/>
  <c r="Z93" i="5"/>
  <c r="H388" i="35" s="1"/>
  <c r="X94" i="5"/>
  <c r="Z70" i="5"/>
  <c r="H355" i="35" s="1"/>
  <c r="X71" i="5"/>
  <c r="Y117" i="5"/>
  <c r="Q138" i="5"/>
  <c r="O139" i="5"/>
  <c r="Q139" i="5" s="1"/>
  <c r="AD127" i="5"/>
  <c r="AF127" i="5" s="1"/>
  <c r="AF126" i="5"/>
  <c r="F151" i="5"/>
  <c r="H150" i="5"/>
  <c r="B235" i="35" s="1"/>
  <c r="AD139" i="5"/>
  <c r="AF139" i="5" s="1"/>
  <c r="AF138" i="5"/>
  <c r="T135" i="5"/>
  <c r="R136" i="5"/>
  <c r="T136" i="5" s="1"/>
  <c r="AJ130" i="5"/>
  <c r="AL130" i="5" s="1"/>
  <c r="AL129" i="5"/>
  <c r="AA121" i="5"/>
  <c r="AC121" i="5" s="1"/>
  <c r="AA117" i="5"/>
  <c r="AC120" i="5"/>
  <c r="Z144" i="5"/>
  <c r="H414" i="35" s="1"/>
  <c r="X145" i="5"/>
  <c r="V118" i="5"/>
  <c r="AL144" i="5"/>
  <c r="L414" i="35" s="1"/>
  <c r="AJ145" i="5"/>
  <c r="X76" i="5"/>
  <c r="Z75" i="5"/>
  <c r="H364" i="35" s="1"/>
  <c r="AF145" i="5"/>
  <c r="J413" i="35" s="1"/>
  <c r="AD146" i="5"/>
  <c r="AJ127" i="5"/>
  <c r="AL127" i="5" s="1"/>
  <c r="AL126" i="5"/>
  <c r="AG152" i="5"/>
  <c r="AI151" i="5"/>
  <c r="K234" i="35" s="1"/>
  <c r="N144" i="5"/>
  <c r="D414" i="35" s="1"/>
  <c r="L145" i="5"/>
  <c r="AA142" i="5"/>
  <c r="AC142" i="5" s="1"/>
  <c r="AC141" i="5"/>
  <c r="U136" i="5"/>
  <c r="W136" i="5" s="1"/>
  <c r="W135" i="5"/>
  <c r="N132" i="5"/>
  <c r="Q129" i="5"/>
  <c r="O130" i="5"/>
  <c r="Q130" i="5" s="1"/>
  <c r="AC126" i="5"/>
  <c r="H126" i="5"/>
  <c r="F127" i="5"/>
  <c r="H127" i="5" s="1"/>
  <c r="M118" i="5"/>
  <c r="AG82" i="5"/>
  <c r="AI81" i="5"/>
  <c r="K372" i="35" s="1"/>
  <c r="I151" i="5"/>
  <c r="K150" i="5"/>
  <c r="C235" i="35" s="1"/>
  <c r="AM145" i="5"/>
  <c r="AO144" i="5"/>
  <c r="M414" i="35" s="1"/>
  <c r="Q144" i="5"/>
  <c r="E414" i="35" s="1"/>
  <c r="O145" i="5"/>
  <c r="F139" i="5"/>
  <c r="H139" i="5" s="1"/>
  <c r="H138" i="5"/>
  <c r="AJ136" i="5"/>
  <c r="AL136" i="5" s="1"/>
  <c r="AL135" i="5"/>
  <c r="I136" i="5"/>
  <c r="K136" i="5" s="1"/>
  <c r="K135" i="5"/>
  <c r="AM130" i="5"/>
  <c r="AO130" i="5" s="1"/>
  <c r="AO129" i="5"/>
  <c r="AG127" i="5"/>
  <c r="AI127" i="5" s="1"/>
  <c r="AI126" i="5"/>
  <c r="AI123" i="5"/>
  <c r="AG124" i="5"/>
  <c r="AI124" i="5" s="1"/>
  <c r="S118" i="5"/>
  <c r="Z120" i="5"/>
  <c r="X121" i="5"/>
  <c r="Z121" i="5" s="1"/>
  <c r="X117" i="5"/>
  <c r="AC99" i="5"/>
  <c r="I396" i="35" s="1"/>
  <c r="AA100" i="5"/>
  <c r="AF144" i="5"/>
  <c r="J414" i="35" s="1"/>
  <c r="Q141" i="5"/>
  <c r="O142" i="5"/>
  <c r="Q142" i="5" s="1"/>
  <c r="AC129" i="5"/>
  <c r="AA130" i="5"/>
  <c r="AC130" i="5" s="1"/>
  <c r="H129" i="5"/>
  <c r="F130" i="5"/>
  <c r="H130" i="5" s="1"/>
  <c r="AH118" i="5"/>
  <c r="AJ121" i="5"/>
  <c r="AL121" i="5" s="1"/>
  <c r="AL120" i="5"/>
  <c r="AJ117" i="5"/>
  <c r="AC93" i="5"/>
  <c r="I388" i="35" s="1"/>
  <c r="AA94" i="5"/>
  <c r="N69" i="5"/>
  <c r="D356" i="35" s="1"/>
  <c r="L70" i="5"/>
  <c r="K111" i="5"/>
  <c r="C226" i="35" s="1"/>
  <c r="I112" i="5"/>
  <c r="AO105" i="5"/>
  <c r="M404" i="35" s="1"/>
  <c r="AM106" i="5"/>
  <c r="T105" i="5"/>
  <c r="F404" i="35" s="1"/>
  <c r="R106" i="5"/>
  <c r="AJ100" i="5"/>
  <c r="AL99" i="5"/>
  <c r="L396" i="35" s="1"/>
  <c r="AA88" i="5"/>
  <c r="AC87" i="5"/>
  <c r="I380" i="35" s="1"/>
  <c r="U70" i="5"/>
  <c r="W69" i="5"/>
  <c r="G356" i="35" s="1"/>
  <c r="K123" i="5"/>
  <c r="I124" i="5"/>
  <c r="K124" i="5" s="1"/>
  <c r="AK117" i="5"/>
  <c r="J117" i="5"/>
  <c r="AG106" i="5"/>
  <c r="AI105" i="5"/>
  <c r="K404" i="35" s="1"/>
  <c r="N99" i="5"/>
  <c r="D396" i="35" s="1"/>
  <c r="L100" i="5"/>
  <c r="AD76" i="5"/>
  <c r="AF75" i="5"/>
  <c r="J364" i="35" s="1"/>
  <c r="L112" i="5"/>
  <c r="N111" i="5"/>
  <c r="D226" i="35" s="1"/>
  <c r="W87" i="5"/>
  <c r="G380" i="35" s="1"/>
  <c r="U88" i="5"/>
  <c r="AC69" i="5"/>
  <c r="I356" i="35" s="1"/>
  <c r="AA70" i="5"/>
  <c r="W63" i="5"/>
  <c r="G348" i="35" s="1"/>
  <c r="AD89" i="5"/>
  <c r="AF88" i="5"/>
  <c r="J379" i="35" s="1"/>
  <c r="F88" i="5"/>
  <c r="H87" i="5"/>
  <c r="B380" i="35" s="1"/>
  <c r="AF81" i="5"/>
  <c r="J372" i="35" s="1"/>
  <c r="AD82" i="5"/>
  <c r="F82" i="5"/>
  <c r="H81" i="5"/>
  <c r="B372" i="35" s="1"/>
  <c r="AG76" i="5"/>
  <c r="AI75" i="5"/>
  <c r="K364" i="35" s="1"/>
  <c r="K69" i="5"/>
  <c r="C356" i="35" s="1"/>
  <c r="I70" i="5"/>
  <c r="R94" i="5"/>
  <c r="T93" i="5"/>
  <c r="F388" i="35" s="1"/>
  <c r="K75" i="5"/>
  <c r="C364" i="35" s="1"/>
  <c r="I76" i="5"/>
  <c r="R70" i="5"/>
  <c r="R71" i="5" s="1"/>
  <c r="T69" i="5"/>
  <c r="F356" i="35" s="1"/>
  <c r="T63" i="5"/>
  <c r="F348" i="35" s="1"/>
  <c r="R64" i="5"/>
  <c r="O64" i="5"/>
  <c r="Q63" i="5"/>
  <c r="E348" i="35" s="1"/>
  <c r="AL132" i="5"/>
  <c r="AJ133" i="5"/>
  <c r="AL133" i="5" s="1"/>
  <c r="R145" i="5"/>
  <c r="T144" i="5"/>
  <c r="F414" i="35" s="1"/>
  <c r="AL150" i="5"/>
  <c r="L235" i="35" s="1"/>
  <c r="AJ151" i="5"/>
  <c r="L136" i="5"/>
  <c r="N136" i="5" s="1"/>
  <c r="N135" i="5"/>
  <c r="AL123" i="5"/>
  <c r="AJ124" i="5"/>
  <c r="AL124" i="5" s="1"/>
  <c r="AC150" i="5"/>
  <c r="I235" i="35" s="1"/>
  <c r="AA151" i="5"/>
  <c r="F145" i="5"/>
  <c r="H144" i="5"/>
  <c r="B414" i="35" s="1"/>
  <c r="T141" i="5"/>
  <c r="R142" i="5"/>
  <c r="T142" i="5" s="1"/>
  <c r="AO132" i="5"/>
  <c r="AM133" i="5"/>
  <c r="AO133" i="5" s="1"/>
  <c r="K129" i="5"/>
  <c r="I130" i="5"/>
  <c r="K130" i="5" s="1"/>
  <c r="Z126" i="5"/>
  <c r="X127" i="5"/>
  <c r="Z127" i="5" s="1"/>
  <c r="F124" i="5"/>
  <c r="H124" i="5" s="1"/>
  <c r="H123" i="5"/>
  <c r="AA114" i="5"/>
  <c r="AC113" i="5"/>
  <c r="I227" i="35" s="1"/>
  <c r="AI144" i="5"/>
  <c r="K414" i="35" s="1"/>
  <c r="AG145" i="5"/>
  <c r="X139" i="5"/>
  <c r="Z139" i="5" s="1"/>
  <c r="Z138" i="5"/>
  <c r="AG130" i="5"/>
  <c r="AI130" i="5" s="1"/>
  <c r="AI129" i="5"/>
  <c r="L124" i="5"/>
  <c r="N124" i="5" s="1"/>
  <c r="N123" i="5"/>
  <c r="J118" i="5"/>
  <c r="R121" i="5"/>
  <c r="T121" i="5" s="1"/>
  <c r="R117" i="5"/>
  <c r="T120" i="5"/>
  <c r="AJ142" i="5"/>
  <c r="AL142" i="5" s="1"/>
  <c r="AL141" i="5"/>
  <c r="K141" i="5"/>
  <c r="I142" i="5"/>
  <c r="K142" i="5" s="1"/>
  <c r="W126" i="5"/>
  <c r="U127" i="5"/>
  <c r="W127" i="5" s="1"/>
  <c r="Y118" i="5"/>
  <c r="O121" i="5"/>
  <c r="Q121" i="5" s="1"/>
  <c r="O117" i="5"/>
  <c r="Q120" i="5"/>
  <c r="N105" i="5"/>
  <c r="D404" i="35" s="1"/>
  <c r="L106" i="5"/>
  <c r="AF99" i="5"/>
  <c r="J396" i="35" s="1"/>
  <c r="AD100" i="5"/>
  <c r="F100" i="5"/>
  <c r="H99" i="5"/>
  <c r="B396" i="35" s="1"/>
  <c r="N93" i="5"/>
  <c r="D388" i="35" s="1"/>
  <c r="L94" i="5"/>
  <c r="O88" i="5"/>
  <c r="Q87" i="5"/>
  <c r="E380" i="35" s="1"/>
  <c r="N75" i="5"/>
  <c r="D364" i="35" s="1"/>
  <c r="L76" i="5"/>
  <c r="AF124" i="5"/>
  <c r="AE117" i="5"/>
  <c r="AJ112" i="5"/>
  <c r="AL111" i="5"/>
  <c r="L226" i="35" s="1"/>
  <c r="AC105" i="5"/>
  <c r="I404" i="35" s="1"/>
  <c r="AA106" i="5"/>
  <c r="AO81" i="5"/>
  <c r="M372" i="35" s="1"/>
  <c r="AM82" i="5"/>
  <c r="T75" i="5"/>
  <c r="F364" i="35" s="1"/>
  <c r="R76" i="5"/>
  <c r="F70" i="5"/>
  <c r="H69" i="5"/>
  <c r="B356" i="35" s="1"/>
  <c r="AM112" i="5"/>
  <c r="AO111" i="5"/>
  <c r="M226" i="35" s="1"/>
  <c r="F112" i="5"/>
  <c r="H111" i="5"/>
  <c r="B226" i="35" s="1"/>
  <c r="W105" i="5"/>
  <c r="G404" i="35" s="1"/>
  <c r="U106" i="5"/>
  <c r="AO99" i="5"/>
  <c r="M396" i="35" s="1"/>
  <c r="AM100" i="5"/>
  <c r="I100" i="5"/>
  <c r="K99" i="5"/>
  <c r="C396" i="35" s="1"/>
  <c r="F94" i="5"/>
  <c r="H93" i="5"/>
  <c r="B388" i="35" s="1"/>
  <c r="I88" i="5"/>
  <c r="K87" i="5"/>
  <c r="C380" i="35" s="1"/>
  <c r="F76" i="5"/>
  <c r="H75" i="5"/>
  <c r="B364" i="35" s="1"/>
  <c r="AM64" i="5"/>
  <c r="AO63" i="5"/>
  <c r="M348" i="35" s="1"/>
  <c r="K93" i="5"/>
  <c r="C388" i="35" s="1"/>
  <c r="I94" i="5"/>
  <c r="Z87" i="5"/>
  <c r="H380" i="35" s="1"/>
  <c r="X88" i="5"/>
  <c r="X82" i="5"/>
  <c r="Z81" i="5"/>
  <c r="H372" i="35" s="1"/>
  <c r="AC75" i="5"/>
  <c r="I364" i="35" s="1"/>
  <c r="AA76" i="5"/>
  <c r="W64" i="5"/>
  <c r="G347" i="35" s="1"/>
  <c r="U65" i="5"/>
  <c r="AJ94" i="5"/>
  <c r="AL93" i="5"/>
  <c r="L388" i="35" s="1"/>
  <c r="AJ70" i="5"/>
  <c r="AL69" i="5"/>
  <c r="L356" i="35" s="1"/>
  <c r="AL63" i="5"/>
  <c r="L348" i="35" s="1"/>
  <c r="AJ64" i="5"/>
  <c r="L65" i="5"/>
  <c r="N64" i="5"/>
  <c r="D347" i="35" s="1"/>
  <c r="K63" i="5"/>
  <c r="C348" i="35" s="1"/>
  <c r="I64" i="5"/>
  <c r="S117" i="5"/>
  <c r="AO150" i="5"/>
  <c r="M235" i="35" s="1"/>
  <c r="AM151" i="5"/>
  <c r="I139" i="5"/>
  <c r="K139" i="5" s="1"/>
  <c r="K138" i="5"/>
  <c r="AI111" i="5"/>
  <c r="K226" i="35" s="1"/>
  <c r="AG112" i="5"/>
  <c r="O133" i="5"/>
  <c r="Q133" i="5" s="1"/>
  <c r="Q132" i="5"/>
  <c r="W138" i="5"/>
  <c r="U139" i="5"/>
  <c r="W139" i="5" s="1"/>
  <c r="F121" i="5"/>
  <c r="H121" i="5" s="1"/>
  <c r="H120" i="5"/>
  <c r="F117" i="5"/>
  <c r="AD133" i="5"/>
  <c r="AF133" i="5" s="1"/>
  <c r="AF132" i="5"/>
  <c r="AF150" i="5"/>
  <c r="J235" i="35" s="1"/>
  <c r="AD151" i="5"/>
  <c r="AL138" i="5"/>
  <c r="AJ139" i="5"/>
  <c r="AL139" i="5" s="1"/>
  <c r="O100" i="5"/>
  <c r="Q99" i="5"/>
  <c r="E396" i="35" s="1"/>
  <c r="X151" i="5"/>
  <c r="Z150" i="5"/>
  <c r="H235" i="35" s="1"/>
  <c r="W120" i="5"/>
  <c r="U121" i="5"/>
  <c r="W121" i="5" s="1"/>
  <c r="U117" i="5"/>
  <c r="AE118" i="5"/>
  <c r="Q93" i="5"/>
  <c r="E388" i="35" s="1"/>
  <c r="O94" i="5"/>
  <c r="AO141" i="5"/>
  <c r="AM142" i="5"/>
  <c r="AO142" i="5" s="1"/>
  <c r="L142" i="5"/>
  <c r="N142" i="5" s="1"/>
  <c r="N141" i="5"/>
  <c r="AI135" i="5"/>
  <c r="AG136" i="5"/>
  <c r="AI136" i="5" s="1"/>
  <c r="Z132" i="5"/>
  <c r="X133" i="5"/>
  <c r="Z133" i="5" s="1"/>
  <c r="AF129" i="5"/>
  <c r="AD130" i="5"/>
  <c r="AF130" i="5" s="1"/>
  <c r="R127" i="5"/>
  <c r="T127" i="5" s="1"/>
  <c r="T126" i="5"/>
  <c r="AC123" i="5"/>
  <c r="AA124" i="5"/>
  <c r="AC124" i="5" s="1"/>
  <c r="AN118" i="5"/>
  <c r="AG121" i="5"/>
  <c r="AI121" i="5" s="1"/>
  <c r="AI120" i="5"/>
  <c r="AG117" i="5"/>
  <c r="AF105" i="5"/>
  <c r="J404" i="35" s="1"/>
  <c r="AD106" i="5"/>
  <c r="U151" i="5"/>
  <c r="W150" i="5"/>
  <c r="G235" i="35" s="1"/>
  <c r="AC144" i="5"/>
  <c r="I414" i="35" s="1"/>
  <c r="AA145" i="5"/>
  <c r="AO138" i="5"/>
  <c r="AM139" i="5"/>
  <c r="AO139" i="5" s="1"/>
  <c r="R139" i="5"/>
  <c r="T139" i="5" s="1"/>
  <c r="T138" i="5"/>
  <c r="AI132" i="5"/>
  <c r="AG133" i="5"/>
  <c r="AI133" i="5" s="1"/>
  <c r="F133" i="5"/>
  <c r="H133" i="5" s="1"/>
  <c r="H132" i="5"/>
  <c r="AM121" i="5"/>
  <c r="AO121" i="5" s="1"/>
  <c r="AM117" i="5"/>
  <c r="I121" i="5"/>
  <c r="K121" i="5" s="1"/>
  <c r="K120" i="5"/>
  <c r="I117" i="5"/>
  <c r="W81" i="5"/>
  <c r="G372" i="35" s="1"/>
  <c r="U82" i="5"/>
  <c r="AF141" i="5"/>
  <c r="AD142" i="5"/>
  <c r="AF142" i="5" s="1"/>
  <c r="AA139" i="5"/>
  <c r="AC139" i="5" s="1"/>
  <c r="AC138" i="5"/>
  <c r="AF135" i="5"/>
  <c r="AD136" i="5"/>
  <c r="AF136" i="5" s="1"/>
  <c r="R130" i="5"/>
  <c r="T130" i="5" s="1"/>
  <c r="T129" i="5"/>
  <c r="Q126" i="5"/>
  <c r="O127" i="5"/>
  <c r="Q127" i="5" s="1"/>
  <c r="T123" i="5"/>
  <c r="R124" i="5"/>
  <c r="T124" i="5" s="1"/>
  <c r="P118" i="5"/>
  <c r="G117" i="5"/>
  <c r="K81" i="5"/>
  <c r="C372" i="35" s="1"/>
  <c r="I82" i="5"/>
  <c r="W111" i="5"/>
  <c r="G226" i="35" s="1"/>
  <c r="U112" i="5"/>
  <c r="H105" i="5"/>
  <c r="B404" i="35" s="1"/>
  <c r="F106" i="5"/>
  <c r="Z123" i="5"/>
  <c r="X124" i="5"/>
  <c r="Z124" i="5" s="1"/>
  <c r="V117" i="5"/>
  <c r="AF111" i="5"/>
  <c r="J226" i="35" s="1"/>
  <c r="AD112" i="5"/>
  <c r="X100" i="5"/>
  <c r="Z99" i="5"/>
  <c r="H396" i="35" s="1"/>
  <c r="AG94" i="5"/>
  <c r="AI93" i="5"/>
  <c r="K388" i="35" s="1"/>
  <c r="AL87" i="5"/>
  <c r="L380" i="35" s="1"/>
  <c r="AJ88" i="5"/>
  <c r="AC81" i="5"/>
  <c r="I372" i="35" s="1"/>
  <c r="AA82" i="5"/>
  <c r="Z111" i="5"/>
  <c r="H226" i="35" s="1"/>
  <c r="X112" i="5"/>
  <c r="O106" i="5"/>
  <c r="Q105" i="5"/>
  <c r="E404" i="35" s="1"/>
  <c r="AG100" i="5"/>
  <c r="AI99" i="5"/>
  <c r="K396" i="35" s="1"/>
  <c r="AO93" i="5"/>
  <c r="M388" i="35" s="1"/>
  <c r="AM94" i="5"/>
  <c r="AI63" i="5"/>
  <c r="K348" i="35" s="1"/>
  <c r="AG64" i="5"/>
  <c r="F64" i="5"/>
  <c r="H63" i="5"/>
  <c r="B348" i="35" s="1"/>
  <c r="T87" i="5"/>
  <c r="F380" i="35" s="1"/>
  <c r="R88" i="5"/>
  <c r="T81" i="5"/>
  <c r="F372" i="35" s="1"/>
  <c r="R82" i="5"/>
  <c r="U76" i="5"/>
  <c r="W75" i="5"/>
  <c r="G364" i="35" s="1"/>
  <c r="N63" i="5"/>
  <c r="D348" i="35" s="1"/>
  <c r="AD94" i="5"/>
  <c r="AF93" i="5"/>
  <c r="J388" i="35" s="1"/>
  <c r="AD70" i="5"/>
  <c r="AF69" i="5"/>
  <c r="J356" i="35" s="1"/>
  <c r="AF63" i="5"/>
  <c r="J348" i="35" s="1"/>
  <c r="AD64" i="5"/>
  <c r="U52" i="5"/>
  <c r="W51" i="5"/>
  <c r="G340" i="35" s="1"/>
  <c r="Q45" i="5"/>
  <c r="E332" i="35" s="1"/>
  <c r="O46" i="5"/>
  <c r="X58" i="5"/>
  <c r="Z57" i="5"/>
  <c r="AO57" i="5"/>
  <c r="AM58" i="5"/>
  <c r="O40" i="5"/>
  <c r="Q39" i="5"/>
  <c r="E324" i="35" s="1"/>
  <c r="AI33" i="5"/>
  <c r="K316" i="35" s="1"/>
  <c r="AG34" i="5"/>
  <c r="K33" i="5"/>
  <c r="C316" i="35" s="1"/>
  <c r="I34" i="5"/>
  <c r="T22" i="5"/>
  <c r="F299" i="35" s="1"/>
  <c r="R23" i="5"/>
  <c r="AM17" i="5"/>
  <c r="AO16" i="5"/>
  <c r="M291" i="35" s="1"/>
  <c r="R16" i="5"/>
  <c r="T15" i="5"/>
  <c r="F292" i="35" s="1"/>
  <c r="AM10" i="5"/>
  <c r="AO9" i="5"/>
  <c r="M282" i="35" s="1"/>
  <c r="T27" i="5"/>
  <c r="F308" i="35" s="1"/>
  <c r="R28" i="5"/>
  <c r="AI15" i="5"/>
  <c r="K292" i="35" s="1"/>
  <c r="AG16" i="5"/>
  <c r="AI9" i="5"/>
  <c r="K282" i="35" s="1"/>
  <c r="AG10" i="5"/>
  <c r="I10" i="5"/>
  <c r="K9" i="5"/>
  <c r="C282" i="35" s="1"/>
  <c r="AD40" i="5"/>
  <c r="AF39" i="5"/>
  <c r="J324" i="35" s="1"/>
  <c r="F40" i="5"/>
  <c r="H39" i="5"/>
  <c r="B324" i="35" s="1"/>
  <c r="AD35" i="5"/>
  <c r="AF34" i="5"/>
  <c r="J315" i="35" s="1"/>
  <c r="H33" i="5"/>
  <c r="B316" i="35" s="1"/>
  <c r="F34" i="5"/>
  <c r="AI21" i="5"/>
  <c r="K300" i="35" s="1"/>
  <c r="AG22" i="5"/>
  <c r="K21" i="5"/>
  <c r="C300" i="35" s="1"/>
  <c r="I22" i="5"/>
  <c r="I4" i="5"/>
  <c r="K3" i="5"/>
  <c r="C217" i="35" s="1"/>
  <c r="X4" i="5"/>
  <c r="Z3" i="5"/>
  <c r="H217" i="35" s="1"/>
  <c r="O28" i="5"/>
  <c r="Q27" i="5"/>
  <c r="E308" i="35" s="1"/>
  <c r="AD52" i="5"/>
  <c r="AF51" i="5"/>
  <c r="J340" i="35" s="1"/>
  <c r="K45" i="5"/>
  <c r="C332" i="35" s="1"/>
  <c r="I46" i="5"/>
  <c r="AG28" i="5"/>
  <c r="AI27" i="5"/>
  <c r="K308" i="35" s="1"/>
  <c r="AL15" i="5"/>
  <c r="L292" i="35" s="1"/>
  <c r="AJ16" i="5"/>
  <c r="AC57" i="5"/>
  <c r="AA58" i="5"/>
  <c r="AC45" i="5"/>
  <c r="I332" i="35" s="1"/>
  <c r="AA46" i="5"/>
  <c r="R58" i="5"/>
  <c r="T57" i="5"/>
  <c r="AM52" i="5"/>
  <c r="AO51" i="5"/>
  <c r="M340" i="35" s="1"/>
  <c r="Z45" i="5"/>
  <c r="H332" i="35" s="1"/>
  <c r="X46" i="5"/>
  <c r="AJ40" i="5"/>
  <c r="AL39" i="5"/>
  <c r="L324" i="35" s="1"/>
  <c r="AA28" i="5"/>
  <c r="AC27" i="5"/>
  <c r="I308" i="35" s="1"/>
  <c r="O52" i="5"/>
  <c r="Q51" i="5"/>
  <c r="E340" i="35" s="1"/>
  <c r="AF10" i="5"/>
  <c r="J283" i="35" s="1"/>
  <c r="AD11" i="5"/>
  <c r="AG58" i="5"/>
  <c r="AI57" i="5"/>
  <c r="H51" i="5"/>
  <c r="B340" i="35" s="1"/>
  <c r="F52" i="5"/>
  <c r="F46" i="5"/>
  <c r="H45" i="5"/>
  <c r="B332" i="35" s="1"/>
  <c r="U28" i="5"/>
  <c r="W27" i="5"/>
  <c r="G308" i="35" s="1"/>
  <c r="AI39" i="5"/>
  <c r="K324" i="35" s="1"/>
  <c r="AG40" i="5"/>
  <c r="K39" i="5"/>
  <c r="C324" i="35" s="1"/>
  <c r="I40" i="5"/>
  <c r="AA34" i="5"/>
  <c r="AC33" i="5"/>
  <c r="I316" i="35" s="1"/>
  <c r="AJ22" i="5"/>
  <c r="AL21" i="5"/>
  <c r="L300" i="35" s="1"/>
  <c r="L22" i="5"/>
  <c r="N21" i="5"/>
  <c r="D300" i="35" s="1"/>
  <c r="N15" i="5"/>
  <c r="D292" i="35" s="1"/>
  <c r="L16" i="5"/>
  <c r="N27" i="5"/>
  <c r="D308" i="35" s="1"/>
  <c r="L28" i="5"/>
  <c r="AA16" i="5"/>
  <c r="AC15" i="5"/>
  <c r="I292" i="35" s="1"/>
  <c r="AC9" i="5"/>
  <c r="I282" i="35" s="1"/>
  <c r="AA10" i="5"/>
  <c r="AG4" i="5"/>
  <c r="AI3" i="5"/>
  <c r="K217" i="35" s="1"/>
  <c r="X40" i="5"/>
  <c r="Z39" i="5"/>
  <c r="H324" i="35" s="1"/>
  <c r="Z33" i="5"/>
  <c r="H316" i="35" s="1"/>
  <c r="X34" i="5"/>
  <c r="AC21" i="5"/>
  <c r="I300" i="35" s="1"/>
  <c r="AA22" i="5"/>
  <c r="W15" i="5"/>
  <c r="G292" i="35" s="1"/>
  <c r="U16" i="5"/>
  <c r="AC3" i="5"/>
  <c r="I217" i="35" s="1"/>
  <c r="AA4" i="5"/>
  <c r="T3" i="5"/>
  <c r="F217" i="35" s="1"/>
  <c r="R4" i="5"/>
  <c r="Q57" i="5"/>
  <c r="O58" i="5"/>
  <c r="H9" i="5"/>
  <c r="B282" i="35" s="1"/>
  <c r="F10" i="5"/>
  <c r="AD58" i="5"/>
  <c r="AF57" i="5"/>
  <c r="AI45" i="5"/>
  <c r="K332" i="35" s="1"/>
  <c r="AG46" i="5"/>
  <c r="I52" i="5"/>
  <c r="K51" i="5"/>
  <c r="C340" i="35" s="1"/>
  <c r="K28" i="5"/>
  <c r="C307" i="35" s="1"/>
  <c r="I29" i="5"/>
  <c r="I58" i="5"/>
  <c r="K57" i="5"/>
  <c r="L58" i="5"/>
  <c r="N57" i="5"/>
  <c r="Z51" i="5"/>
  <c r="H340" i="35" s="1"/>
  <c r="X52" i="5"/>
  <c r="W57" i="5"/>
  <c r="U58" i="5"/>
  <c r="AO45" i="5"/>
  <c r="M332" i="35" s="1"/>
  <c r="AM46" i="5"/>
  <c r="L10" i="5"/>
  <c r="N9" i="5"/>
  <c r="D282" i="35" s="1"/>
  <c r="AA40" i="5"/>
  <c r="AC39" i="5"/>
  <c r="I324" i="35" s="1"/>
  <c r="W33" i="5"/>
  <c r="G316" i="35" s="1"/>
  <c r="U34" i="5"/>
  <c r="AJ28" i="5"/>
  <c r="AL27" i="5"/>
  <c r="L308" i="35" s="1"/>
  <c r="AF22" i="5"/>
  <c r="J299" i="35" s="1"/>
  <c r="AD23" i="5"/>
  <c r="F22" i="5"/>
  <c r="H21" i="5"/>
  <c r="B300" i="35" s="1"/>
  <c r="F16" i="5"/>
  <c r="H15" i="5"/>
  <c r="B292" i="35" s="1"/>
  <c r="AO3" i="5"/>
  <c r="M217" i="35" s="1"/>
  <c r="AM4" i="5"/>
  <c r="AD29" i="5"/>
  <c r="AF28" i="5"/>
  <c r="J307" i="35" s="1"/>
  <c r="F28" i="5"/>
  <c r="H27" i="5"/>
  <c r="B308" i="35" s="1"/>
  <c r="U10" i="5"/>
  <c r="W9" i="5"/>
  <c r="G282" i="35" s="1"/>
  <c r="R40" i="5"/>
  <c r="T39" i="5"/>
  <c r="F324" i="35" s="1"/>
  <c r="T33" i="5"/>
  <c r="F316" i="35" s="1"/>
  <c r="R34" i="5"/>
  <c r="W21" i="5"/>
  <c r="G300" i="35" s="1"/>
  <c r="U22" i="5"/>
  <c r="O16" i="5"/>
  <c r="Q15" i="5"/>
  <c r="E292" i="35" s="1"/>
  <c r="AJ10" i="5"/>
  <c r="AL9" i="5"/>
  <c r="L282" i="35" s="1"/>
  <c r="AL3" i="5"/>
  <c r="L217" i="35" s="1"/>
  <c r="AJ4" i="5"/>
  <c r="N3" i="5"/>
  <c r="D217" i="35" s="1"/>
  <c r="L4" i="5"/>
  <c r="X10" i="5"/>
  <c r="Z9" i="5"/>
  <c r="H282" i="35" s="1"/>
  <c r="N51" i="5"/>
  <c r="D340" i="35" s="1"/>
  <c r="L52" i="5"/>
  <c r="AF45" i="5"/>
  <c r="J332" i="35" s="1"/>
  <c r="AD46" i="5"/>
  <c r="AD16" i="5"/>
  <c r="AF15" i="5"/>
  <c r="J292" i="35" s="1"/>
  <c r="AA52" i="5"/>
  <c r="AC51" i="5"/>
  <c r="I340" i="35" s="1"/>
  <c r="N45" i="5"/>
  <c r="D332" i="35" s="1"/>
  <c r="L46" i="5"/>
  <c r="AJ52" i="5"/>
  <c r="AL51" i="5"/>
  <c r="L340" i="35" s="1"/>
  <c r="AO15" i="5"/>
  <c r="M292" i="35" s="1"/>
  <c r="AJ58" i="5"/>
  <c r="AL57" i="5"/>
  <c r="AO39" i="5"/>
  <c r="M324" i="35" s="1"/>
  <c r="AM40" i="5"/>
  <c r="F58" i="5"/>
  <c r="H57" i="5"/>
  <c r="T51" i="5"/>
  <c r="F340" i="35" s="1"/>
  <c r="R52" i="5"/>
  <c r="AL45" i="5"/>
  <c r="L332" i="35" s="1"/>
  <c r="AJ46" i="5"/>
  <c r="T9" i="5"/>
  <c r="F282" i="35" s="1"/>
  <c r="R10" i="5"/>
  <c r="W45" i="5"/>
  <c r="G332" i="35" s="1"/>
  <c r="U46" i="5"/>
  <c r="AG52" i="5"/>
  <c r="AI51" i="5"/>
  <c r="K340" i="35" s="1"/>
  <c r="T45" i="5"/>
  <c r="F332" i="35" s="1"/>
  <c r="R46" i="5"/>
  <c r="T21" i="5"/>
  <c r="F300" i="35" s="1"/>
  <c r="U4" i="5"/>
  <c r="W3" i="5"/>
  <c r="G217" i="35" s="1"/>
  <c r="W39" i="5"/>
  <c r="G324" i="35" s="1"/>
  <c r="U40" i="5"/>
  <c r="AM34" i="5"/>
  <c r="AO33" i="5"/>
  <c r="M316" i="35" s="1"/>
  <c r="O34" i="5"/>
  <c r="Q33" i="5"/>
  <c r="E316" i="35" s="1"/>
  <c r="X22" i="5"/>
  <c r="Z21" i="5"/>
  <c r="H300" i="35" s="1"/>
  <c r="X16" i="5"/>
  <c r="Z15" i="5"/>
  <c r="H292" i="35" s="1"/>
  <c r="Q3" i="5"/>
  <c r="E217" i="35" s="1"/>
  <c r="O4" i="5"/>
  <c r="AF33" i="5"/>
  <c r="J316" i="35" s="1"/>
  <c r="Z27" i="5"/>
  <c r="H308" i="35" s="1"/>
  <c r="X28" i="5"/>
  <c r="O10" i="5"/>
  <c r="Q9" i="5"/>
  <c r="E282" i="35" s="1"/>
  <c r="L40" i="5"/>
  <c r="N39" i="5"/>
  <c r="D324" i="35" s="1"/>
  <c r="AL33" i="5"/>
  <c r="L316" i="35" s="1"/>
  <c r="AJ34" i="5"/>
  <c r="N33" i="5"/>
  <c r="D316" i="35" s="1"/>
  <c r="L34" i="5"/>
  <c r="AM28" i="5"/>
  <c r="AO27" i="5"/>
  <c r="M308" i="35" s="1"/>
  <c r="AM22" i="5"/>
  <c r="AO21" i="5"/>
  <c r="M300" i="35" s="1"/>
  <c r="O22" i="5"/>
  <c r="Q21" i="5"/>
  <c r="E300" i="35" s="1"/>
  <c r="I16" i="5"/>
  <c r="K15" i="5"/>
  <c r="C292" i="35" s="1"/>
  <c r="AF9" i="5"/>
  <c r="J282" i="35" s="1"/>
  <c r="AF3" i="5"/>
  <c r="J217" i="35" s="1"/>
  <c r="AD4" i="5"/>
  <c r="F4" i="5"/>
  <c r="H3" i="5"/>
  <c r="B217" i="35" s="1"/>
  <c r="B274" i="35"/>
  <c r="C274" i="35"/>
  <c r="D274" i="35"/>
  <c r="E274" i="35"/>
  <c r="F274" i="35"/>
  <c r="G274" i="35"/>
  <c r="H274" i="35"/>
  <c r="I274" i="35"/>
  <c r="J274" i="35"/>
  <c r="B280" i="35"/>
  <c r="C280" i="35"/>
  <c r="D280" i="35"/>
  <c r="E280" i="35"/>
  <c r="F280" i="35"/>
  <c r="G280" i="35"/>
  <c r="H280" i="35"/>
  <c r="I280" i="35"/>
  <c r="J280" i="35"/>
  <c r="B289" i="35"/>
  <c r="C289" i="35"/>
  <c r="D289" i="35"/>
  <c r="E289" i="35"/>
  <c r="F289" i="35"/>
  <c r="G289" i="35"/>
  <c r="H289" i="35"/>
  <c r="I289" i="35"/>
  <c r="J289" i="35"/>
  <c r="J264" i="35" l="1"/>
  <c r="J248" i="35"/>
  <c r="J256" i="35"/>
  <c r="K240" i="35"/>
  <c r="I249" i="35"/>
  <c r="I251" i="35"/>
  <c r="I250" i="35"/>
  <c r="I252" i="35"/>
  <c r="I254" i="35" s="1"/>
  <c r="H253" i="35"/>
  <c r="H254" i="35"/>
  <c r="D118" i="5"/>
  <c r="D117" i="5"/>
  <c r="AA107" i="5"/>
  <c r="AC106" i="5"/>
  <c r="I403" i="35" s="1"/>
  <c r="O118" i="5"/>
  <c r="Q118" i="5" s="1"/>
  <c r="E276" i="35" s="1"/>
  <c r="Q117" i="5"/>
  <c r="E277" i="35" s="1"/>
  <c r="AO106" i="5"/>
  <c r="M403" i="35" s="1"/>
  <c r="AM107" i="5"/>
  <c r="AC94" i="5"/>
  <c r="I387" i="35" s="1"/>
  <c r="AA95" i="5"/>
  <c r="Z94" i="5"/>
  <c r="H387" i="35" s="1"/>
  <c r="X95" i="5"/>
  <c r="AD71" i="5"/>
  <c r="AF70" i="5"/>
  <c r="J355" i="35" s="1"/>
  <c r="AD95" i="5"/>
  <c r="AF94" i="5"/>
  <c r="J387" i="35" s="1"/>
  <c r="R83" i="5"/>
  <c r="T82" i="5"/>
  <c r="F371" i="35" s="1"/>
  <c r="R89" i="5"/>
  <c r="T88" i="5"/>
  <c r="F379" i="35" s="1"/>
  <c r="AA83" i="5"/>
  <c r="AC82" i="5"/>
  <c r="I371" i="35" s="1"/>
  <c r="AF112" i="5"/>
  <c r="J225" i="35" s="1"/>
  <c r="AD113" i="5"/>
  <c r="H106" i="5"/>
  <c r="B403" i="35" s="1"/>
  <c r="F107" i="5"/>
  <c r="I83" i="5"/>
  <c r="K82" i="5"/>
  <c r="C371" i="35" s="1"/>
  <c r="I118" i="5"/>
  <c r="K118" i="5" s="1"/>
  <c r="C276" i="35" s="1"/>
  <c r="K117" i="5"/>
  <c r="C277" i="35" s="1"/>
  <c r="AC145" i="5"/>
  <c r="I413" i="35" s="1"/>
  <c r="AA146" i="5"/>
  <c r="AG118" i="5"/>
  <c r="AI118" i="5" s="1"/>
  <c r="K276" i="35" s="1"/>
  <c r="AI117" i="5"/>
  <c r="K277" i="35" s="1"/>
  <c r="Q100" i="5"/>
  <c r="E395" i="35" s="1"/>
  <c r="O101" i="5"/>
  <c r="AJ95" i="5"/>
  <c r="AL94" i="5"/>
  <c r="L387" i="35" s="1"/>
  <c r="X83" i="5"/>
  <c r="Z82" i="5"/>
  <c r="H371" i="35" s="1"/>
  <c r="AO64" i="5"/>
  <c r="M347" i="35" s="1"/>
  <c r="AM65" i="5"/>
  <c r="I89" i="5"/>
  <c r="K88" i="5"/>
  <c r="C379" i="35" s="1"/>
  <c r="I101" i="5"/>
  <c r="K100" i="5"/>
  <c r="C395" i="35" s="1"/>
  <c r="AO112" i="5"/>
  <c r="M225" i="35" s="1"/>
  <c r="AM113" i="5"/>
  <c r="AJ113" i="5"/>
  <c r="AL112" i="5"/>
  <c r="L225" i="35" s="1"/>
  <c r="L77" i="5"/>
  <c r="N76" i="5"/>
  <c r="D363" i="35" s="1"/>
  <c r="N94" i="5"/>
  <c r="D387" i="35" s="1"/>
  <c r="L95" i="5"/>
  <c r="AF100" i="5"/>
  <c r="J395" i="35" s="1"/>
  <c r="AD101" i="5"/>
  <c r="AJ152" i="5"/>
  <c r="AL151" i="5"/>
  <c r="L234" i="35" s="1"/>
  <c r="AF82" i="5"/>
  <c r="J371" i="35" s="1"/>
  <c r="AD83" i="5"/>
  <c r="U71" i="5"/>
  <c r="W70" i="5"/>
  <c r="G355" i="35" s="1"/>
  <c r="AJ101" i="5"/>
  <c r="AL100" i="5"/>
  <c r="L395" i="35" s="1"/>
  <c r="X118" i="5"/>
  <c r="Z118" i="5" s="1"/>
  <c r="H276" i="35" s="1"/>
  <c r="Z117" i="5"/>
  <c r="H277" i="35" s="1"/>
  <c r="K151" i="5"/>
  <c r="C234" i="35" s="1"/>
  <c r="I152" i="5"/>
  <c r="L146" i="5"/>
  <c r="N145" i="5"/>
  <c r="D413" i="35" s="1"/>
  <c r="AF146" i="5"/>
  <c r="J415" i="35" s="1"/>
  <c r="AD147" i="5"/>
  <c r="Q114" i="5"/>
  <c r="E228" i="35" s="1"/>
  <c r="AM71" i="5"/>
  <c r="AO70" i="5"/>
  <c r="M355" i="35" s="1"/>
  <c r="K106" i="5"/>
  <c r="C403" i="35" s="1"/>
  <c r="I107" i="5"/>
  <c r="X65" i="5"/>
  <c r="Z64" i="5"/>
  <c r="H347" i="35" s="1"/>
  <c r="AJ77" i="5"/>
  <c r="AL76" i="5"/>
  <c r="L363" i="35" s="1"/>
  <c r="AF117" i="5"/>
  <c r="J277" i="35" s="1"/>
  <c r="AD118" i="5"/>
  <c r="AF118" i="5" s="1"/>
  <c r="J276" i="35" s="1"/>
  <c r="Q151" i="5"/>
  <c r="E234" i="35" s="1"/>
  <c r="O152" i="5"/>
  <c r="T151" i="5"/>
  <c r="F234" i="35" s="1"/>
  <c r="R152" i="5"/>
  <c r="U77" i="5"/>
  <c r="W76" i="5"/>
  <c r="G363" i="35" s="1"/>
  <c r="O107" i="5"/>
  <c r="Q106" i="5"/>
  <c r="E403" i="35" s="1"/>
  <c r="H117" i="5"/>
  <c r="B277" i="35" s="1"/>
  <c r="F118" i="5"/>
  <c r="H118" i="5" s="1"/>
  <c r="B276" i="35" s="1"/>
  <c r="K64" i="5"/>
  <c r="C347" i="35" s="1"/>
  <c r="I65" i="5"/>
  <c r="AJ65" i="5"/>
  <c r="AL64" i="5"/>
  <c r="L347" i="35" s="1"/>
  <c r="Z88" i="5"/>
  <c r="H379" i="35" s="1"/>
  <c r="X89" i="5"/>
  <c r="T76" i="5"/>
  <c r="F363" i="35" s="1"/>
  <c r="R77" i="5"/>
  <c r="F89" i="5"/>
  <c r="H88" i="5"/>
  <c r="B379" i="35" s="1"/>
  <c r="AA71" i="5"/>
  <c r="AC70" i="5"/>
  <c r="I355" i="35" s="1"/>
  <c r="L101" i="5"/>
  <c r="N100" i="5"/>
  <c r="D395" i="35" s="1"/>
  <c r="X72" i="5"/>
  <c r="Z71" i="5"/>
  <c r="H357" i="35" s="1"/>
  <c r="O77" i="5"/>
  <c r="Q76" i="5"/>
  <c r="E363" i="35" s="1"/>
  <c r="L83" i="5"/>
  <c r="N82" i="5"/>
  <c r="D371" i="35" s="1"/>
  <c r="L89" i="5"/>
  <c r="N88" i="5"/>
  <c r="D379" i="35" s="1"/>
  <c r="T112" i="5"/>
  <c r="F225" i="35" s="1"/>
  <c r="R113" i="5"/>
  <c r="U95" i="5"/>
  <c r="W94" i="5"/>
  <c r="G387" i="35" s="1"/>
  <c r="AD65" i="5"/>
  <c r="AF64" i="5"/>
  <c r="J347" i="35" s="1"/>
  <c r="F65" i="5"/>
  <c r="H64" i="5"/>
  <c r="B347" i="35" s="1"/>
  <c r="AG101" i="5"/>
  <c r="AI100" i="5"/>
  <c r="K395" i="35" s="1"/>
  <c r="AG95" i="5"/>
  <c r="AI94" i="5"/>
  <c r="K387" i="35" s="1"/>
  <c r="U152" i="5"/>
  <c r="W151" i="5"/>
  <c r="G234" i="35" s="1"/>
  <c r="AF151" i="5"/>
  <c r="J234" i="35" s="1"/>
  <c r="AD152" i="5"/>
  <c r="AI112" i="5"/>
  <c r="K225" i="35" s="1"/>
  <c r="AG113" i="5"/>
  <c r="AM152" i="5"/>
  <c r="AO151" i="5"/>
  <c r="M234" i="35" s="1"/>
  <c r="U66" i="5"/>
  <c r="W65" i="5"/>
  <c r="G349" i="35" s="1"/>
  <c r="AA77" i="5"/>
  <c r="AC76" i="5"/>
  <c r="I363" i="35" s="1"/>
  <c r="I95" i="5"/>
  <c r="K94" i="5"/>
  <c r="C387" i="35" s="1"/>
  <c r="AO100" i="5"/>
  <c r="M395" i="35" s="1"/>
  <c r="AM101" i="5"/>
  <c r="AM83" i="5"/>
  <c r="AO82" i="5"/>
  <c r="M371" i="35" s="1"/>
  <c r="T117" i="5"/>
  <c r="F277" i="35" s="1"/>
  <c r="R118" i="5"/>
  <c r="T118" i="5" s="1"/>
  <c r="F276" i="35" s="1"/>
  <c r="AA115" i="5"/>
  <c r="AC115" i="5" s="1"/>
  <c r="I229" i="35" s="1"/>
  <c r="AC114" i="5"/>
  <c r="I228" i="35" s="1"/>
  <c r="F146" i="5"/>
  <c r="H145" i="5"/>
  <c r="B413" i="35" s="1"/>
  <c r="R146" i="5"/>
  <c r="T145" i="5"/>
  <c r="F413" i="35" s="1"/>
  <c r="Q64" i="5"/>
  <c r="E347" i="35" s="1"/>
  <c r="O65" i="5"/>
  <c r="R95" i="5"/>
  <c r="T94" i="5"/>
  <c r="F387" i="35" s="1"/>
  <c r="AG77" i="5"/>
  <c r="AI76" i="5"/>
  <c r="K363" i="35" s="1"/>
  <c r="AD90" i="5"/>
  <c r="AF89" i="5"/>
  <c r="J381" i="35" s="1"/>
  <c r="U89" i="5"/>
  <c r="W88" i="5"/>
  <c r="G379" i="35" s="1"/>
  <c r="T106" i="5"/>
  <c r="F403" i="35" s="1"/>
  <c r="R107" i="5"/>
  <c r="K112" i="5"/>
  <c r="C225" i="35" s="1"/>
  <c r="I113" i="5"/>
  <c r="N70" i="5"/>
  <c r="D355" i="35" s="1"/>
  <c r="L71" i="5"/>
  <c r="AJ118" i="5"/>
  <c r="AL118" i="5" s="1"/>
  <c r="L276" i="35" s="1"/>
  <c r="AL117" i="5"/>
  <c r="L277" i="35" s="1"/>
  <c r="AL145" i="5"/>
  <c r="L413" i="35" s="1"/>
  <c r="AJ146" i="5"/>
  <c r="AA118" i="5"/>
  <c r="AC118" i="5" s="1"/>
  <c r="I276" i="35" s="1"/>
  <c r="AC117" i="5"/>
  <c r="I277" i="35" s="1"/>
  <c r="O71" i="5"/>
  <c r="Q70" i="5"/>
  <c r="E355" i="35" s="1"/>
  <c r="AI88" i="5"/>
  <c r="K379" i="35" s="1"/>
  <c r="AG89" i="5"/>
  <c r="AJ108" i="5"/>
  <c r="AL107" i="5"/>
  <c r="L405" i="35" s="1"/>
  <c r="O83" i="5"/>
  <c r="Q82" i="5"/>
  <c r="E371" i="35" s="1"/>
  <c r="L118" i="5"/>
  <c r="N118" i="5" s="1"/>
  <c r="D276" i="35" s="1"/>
  <c r="N117" i="5"/>
  <c r="D277" i="35" s="1"/>
  <c r="N151" i="5"/>
  <c r="D234" i="35" s="1"/>
  <c r="L152" i="5"/>
  <c r="X101" i="5"/>
  <c r="Z100" i="5"/>
  <c r="H395" i="35" s="1"/>
  <c r="AM118" i="5"/>
  <c r="AO118" i="5" s="1"/>
  <c r="M276" i="35" s="1"/>
  <c r="AO117" i="5"/>
  <c r="M277" i="35" s="1"/>
  <c r="Q94" i="5"/>
  <c r="E387" i="35" s="1"/>
  <c r="O95" i="5"/>
  <c r="W106" i="5"/>
  <c r="G403" i="35" s="1"/>
  <c r="U107" i="5"/>
  <c r="O89" i="5"/>
  <c r="Q88" i="5"/>
  <c r="E379" i="35" s="1"/>
  <c r="H100" i="5"/>
  <c r="B395" i="35" s="1"/>
  <c r="F101" i="5"/>
  <c r="R72" i="5"/>
  <c r="T71" i="5"/>
  <c r="F357" i="35" s="1"/>
  <c r="F83" i="5"/>
  <c r="H82" i="5"/>
  <c r="B371" i="35" s="1"/>
  <c r="Q145" i="5"/>
  <c r="E413" i="35" s="1"/>
  <c r="O146" i="5"/>
  <c r="AI152" i="5"/>
  <c r="K236" i="35" s="1"/>
  <c r="AG153" i="5"/>
  <c r="X77" i="5"/>
  <c r="Z76" i="5"/>
  <c r="H363" i="35" s="1"/>
  <c r="U101" i="5"/>
  <c r="W100" i="5"/>
  <c r="G395" i="35" s="1"/>
  <c r="AI64" i="5"/>
  <c r="K347" i="35" s="1"/>
  <c r="AG65" i="5"/>
  <c r="AO94" i="5"/>
  <c r="M387" i="35" s="1"/>
  <c r="AM95" i="5"/>
  <c r="X113" i="5"/>
  <c r="Z112" i="5"/>
  <c r="H225" i="35" s="1"/>
  <c r="AJ89" i="5"/>
  <c r="AL88" i="5"/>
  <c r="L379" i="35" s="1"/>
  <c r="W112" i="5"/>
  <c r="G225" i="35" s="1"/>
  <c r="U113" i="5"/>
  <c r="U83" i="5"/>
  <c r="W82" i="5"/>
  <c r="G371" i="35" s="1"/>
  <c r="AD107" i="5"/>
  <c r="AF106" i="5"/>
  <c r="J403" i="35" s="1"/>
  <c r="U118" i="5"/>
  <c r="W118" i="5" s="1"/>
  <c r="G276" i="35" s="1"/>
  <c r="W117" i="5"/>
  <c r="G277" i="35" s="1"/>
  <c r="X152" i="5"/>
  <c r="Z151" i="5"/>
  <c r="H234" i="35" s="1"/>
  <c r="T70" i="5"/>
  <c r="F355" i="35" s="1"/>
  <c r="N65" i="5"/>
  <c r="D349" i="35" s="1"/>
  <c r="L66" i="5"/>
  <c r="AL70" i="5"/>
  <c r="L355" i="35" s="1"/>
  <c r="AJ71" i="5"/>
  <c r="F77" i="5"/>
  <c r="H76" i="5"/>
  <c r="B363" i="35" s="1"/>
  <c r="F95" i="5"/>
  <c r="H94" i="5"/>
  <c r="B387" i="35" s="1"/>
  <c r="F113" i="5"/>
  <c r="H112" i="5"/>
  <c r="B225" i="35" s="1"/>
  <c r="F71" i="5"/>
  <c r="H70" i="5"/>
  <c r="B355" i="35" s="1"/>
  <c r="N106" i="5"/>
  <c r="D403" i="35" s="1"/>
  <c r="L107" i="5"/>
  <c r="AG146" i="5"/>
  <c r="AI145" i="5"/>
  <c r="K413" i="35" s="1"/>
  <c r="AA152" i="5"/>
  <c r="AC151" i="5"/>
  <c r="I234" i="35" s="1"/>
  <c r="R65" i="5"/>
  <c r="T64" i="5"/>
  <c r="F347" i="35" s="1"/>
  <c r="K76" i="5"/>
  <c r="C363" i="35" s="1"/>
  <c r="I77" i="5"/>
  <c r="K70" i="5"/>
  <c r="C355" i="35" s="1"/>
  <c r="I71" i="5"/>
  <c r="N112" i="5"/>
  <c r="D225" i="35" s="1"/>
  <c r="L113" i="5"/>
  <c r="AF76" i="5"/>
  <c r="J363" i="35" s="1"/>
  <c r="AD77" i="5"/>
  <c r="AI106" i="5"/>
  <c r="K403" i="35" s="1"/>
  <c r="AG107" i="5"/>
  <c r="AA89" i="5"/>
  <c r="AC88" i="5"/>
  <c r="I379" i="35" s="1"/>
  <c r="AA101" i="5"/>
  <c r="AC100" i="5"/>
  <c r="I395" i="35" s="1"/>
  <c r="AO145" i="5"/>
  <c r="M413" i="35" s="1"/>
  <c r="AM146" i="5"/>
  <c r="AG83" i="5"/>
  <c r="AI82" i="5"/>
  <c r="K371" i="35" s="1"/>
  <c r="Z145" i="5"/>
  <c r="H413" i="35" s="1"/>
  <c r="X146" i="5"/>
  <c r="H151" i="5"/>
  <c r="B234" i="35" s="1"/>
  <c r="F152" i="5"/>
  <c r="AM77" i="5"/>
  <c r="AO76" i="5"/>
  <c r="M363" i="35" s="1"/>
  <c r="AL82" i="5"/>
  <c r="L371" i="35" s="1"/>
  <c r="AJ83" i="5"/>
  <c r="AM89" i="5"/>
  <c r="AO88" i="5"/>
  <c r="M379" i="35" s="1"/>
  <c r="AC64" i="5"/>
  <c r="I347" i="35" s="1"/>
  <c r="AA65" i="5"/>
  <c r="T100" i="5"/>
  <c r="F395" i="35" s="1"/>
  <c r="R101" i="5"/>
  <c r="AI70" i="5"/>
  <c r="K355" i="35" s="1"/>
  <c r="AG71" i="5"/>
  <c r="Z106" i="5"/>
  <c r="H403" i="35" s="1"/>
  <c r="X107" i="5"/>
  <c r="I146" i="5"/>
  <c r="K145" i="5"/>
  <c r="C413" i="35" s="1"/>
  <c r="U146" i="5"/>
  <c r="W145" i="5"/>
  <c r="G413" i="35" s="1"/>
  <c r="K16" i="5"/>
  <c r="C291" i="35" s="1"/>
  <c r="I17" i="5"/>
  <c r="O5" i="5"/>
  <c r="Q4" i="5"/>
  <c r="E218" i="35" s="1"/>
  <c r="F59" i="5"/>
  <c r="H58" i="5"/>
  <c r="K29" i="5"/>
  <c r="C309" i="35" s="1"/>
  <c r="I30" i="5"/>
  <c r="AG23" i="5"/>
  <c r="AI22" i="5"/>
  <c r="K299" i="35" s="1"/>
  <c r="R29" i="5"/>
  <c r="T28" i="5"/>
  <c r="F307" i="35" s="1"/>
  <c r="R24" i="5"/>
  <c r="T23" i="5"/>
  <c r="F301" i="35" s="1"/>
  <c r="AG35" i="5"/>
  <c r="AI34" i="5"/>
  <c r="K315" i="35" s="1"/>
  <c r="Q46" i="5"/>
  <c r="E331" i="35" s="1"/>
  <c r="O47" i="5"/>
  <c r="F5" i="5"/>
  <c r="H4" i="5"/>
  <c r="B218" i="35" s="1"/>
  <c r="AL34" i="5"/>
  <c r="L315" i="35" s="1"/>
  <c r="AJ35" i="5"/>
  <c r="X29" i="5"/>
  <c r="Z28" i="5"/>
  <c r="H307" i="35" s="1"/>
  <c r="Z16" i="5"/>
  <c r="H291" i="35" s="1"/>
  <c r="X17" i="5"/>
  <c r="Z22" i="5"/>
  <c r="H299" i="35" s="1"/>
  <c r="X23" i="5"/>
  <c r="AO34" i="5"/>
  <c r="M315" i="35" s="1"/>
  <c r="AM35" i="5"/>
  <c r="U5" i="5"/>
  <c r="W4" i="5"/>
  <c r="G218" i="35" s="1"/>
  <c r="U47" i="5"/>
  <c r="W46" i="5"/>
  <c r="G331" i="35" s="1"/>
  <c r="R53" i="5"/>
  <c r="T52" i="5"/>
  <c r="F339" i="35" s="1"/>
  <c r="AM41" i="5"/>
  <c r="AO40" i="5"/>
  <c r="M323" i="35" s="1"/>
  <c r="AJ53" i="5"/>
  <c r="AL52" i="5"/>
  <c r="L339" i="35" s="1"/>
  <c r="AD17" i="5"/>
  <c r="AF16" i="5"/>
  <c r="J291" i="35" s="1"/>
  <c r="X11" i="5"/>
  <c r="Z10" i="5"/>
  <c r="H283" i="35" s="1"/>
  <c r="AL10" i="5"/>
  <c r="L283" i="35" s="1"/>
  <c r="AJ11" i="5"/>
  <c r="W10" i="5"/>
  <c r="G283" i="35" s="1"/>
  <c r="U11" i="5"/>
  <c r="AD30" i="5"/>
  <c r="AF29" i="5"/>
  <c r="J309" i="35" s="1"/>
  <c r="F17" i="5"/>
  <c r="H16" i="5"/>
  <c r="B291" i="35" s="1"/>
  <c r="AC40" i="5"/>
  <c r="I323" i="35" s="1"/>
  <c r="AA41" i="5"/>
  <c r="N58" i="5"/>
  <c r="L59" i="5"/>
  <c r="AF58" i="5"/>
  <c r="AD59" i="5"/>
  <c r="AI4" i="5"/>
  <c r="K218" i="35" s="1"/>
  <c r="AG5" i="5"/>
  <c r="AA17" i="5"/>
  <c r="AC16" i="5"/>
  <c r="I291" i="35" s="1"/>
  <c r="AJ23" i="5"/>
  <c r="AL22" i="5"/>
  <c r="L299" i="35" s="1"/>
  <c r="AC34" i="5"/>
  <c r="I315" i="35" s="1"/>
  <c r="AA35" i="5"/>
  <c r="H46" i="5"/>
  <c r="B331" i="35" s="1"/>
  <c r="F47" i="5"/>
  <c r="AG59" i="5"/>
  <c r="AI58" i="5"/>
  <c r="Q52" i="5"/>
  <c r="E339" i="35" s="1"/>
  <c r="O53" i="5"/>
  <c r="AL40" i="5"/>
  <c r="L323" i="35" s="1"/>
  <c r="AJ41" i="5"/>
  <c r="AO52" i="5"/>
  <c r="M339" i="35" s="1"/>
  <c r="AM53" i="5"/>
  <c r="O29" i="5"/>
  <c r="Q28" i="5"/>
  <c r="E307" i="35" s="1"/>
  <c r="X5" i="5"/>
  <c r="Z4" i="5"/>
  <c r="H218" i="35" s="1"/>
  <c r="AD36" i="5"/>
  <c r="AF35" i="5"/>
  <c r="J317" i="35" s="1"/>
  <c r="AF40" i="5"/>
  <c r="J323" i="35" s="1"/>
  <c r="AD41" i="5"/>
  <c r="R17" i="5"/>
  <c r="T16" i="5"/>
  <c r="F291" i="35" s="1"/>
  <c r="L47" i="5"/>
  <c r="N46" i="5"/>
  <c r="D331" i="35" s="1"/>
  <c r="AJ5" i="5"/>
  <c r="AL4" i="5"/>
  <c r="L218" i="35" s="1"/>
  <c r="W34" i="5"/>
  <c r="G315" i="35" s="1"/>
  <c r="U35" i="5"/>
  <c r="U59" i="5"/>
  <c r="W58" i="5"/>
  <c r="AC46" i="5"/>
  <c r="I331" i="35" s="1"/>
  <c r="AA47" i="5"/>
  <c r="AJ17" i="5"/>
  <c r="AL16" i="5"/>
  <c r="L291" i="35" s="1"/>
  <c r="I47" i="5"/>
  <c r="K46" i="5"/>
  <c r="C331" i="35" s="1"/>
  <c r="AG11" i="5"/>
  <c r="AI10" i="5"/>
  <c r="K283" i="35" s="1"/>
  <c r="AF4" i="5"/>
  <c r="J218" i="35" s="1"/>
  <c r="AD5" i="5"/>
  <c r="O23" i="5"/>
  <c r="Q22" i="5"/>
  <c r="E299" i="35" s="1"/>
  <c r="AM29" i="5"/>
  <c r="AO28" i="5"/>
  <c r="M307" i="35" s="1"/>
  <c r="O11" i="5"/>
  <c r="Q10" i="5"/>
  <c r="E283" i="35" s="1"/>
  <c r="U41" i="5"/>
  <c r="W40" i="5"/>
  <c r="G323" i="35" s="1"/>
  <c r="AI52" i="5"/>
  <c r="K339" i="35" s="1"/>
  <c r="AG53" i="5"/>
  <c r="AL58" i="5"/>
  <c r="AJ59" i="5"/>
  <c r="AF46" i="5"/>
  <c r="J331" i="35" s="1"/>
  <c r="AD47" i="5"/>
  <c r="L5" i="5"/>
  <c r="N4" i="5"/>
  <c r="D218" i="35" s="1"/>
  <c r="U23" i="5"/>
  <c r="W22" i="5"/>
  <c r="G299" i="35" s="1"/>
  <c r="R35" i="5"/>
  <c r="T34" i="5"/>
  <c r="F315" i="35" s="1"/>
  <c r="AM5" i="5"/>
  <c r="AO4" i="5"/>
  <c r="M218" i="35" s="1"/>
  <c r="AM47" i="5"/>
  <c r="AO46" i="5"/>
  <c r="M331" i="35" s="1"/>
  <c r="X53" i="5"/>
  <c r="Z52" i="5"/>
  <c r="H339" i="35" s="1"/>
  <c r="F11" i="5"/>
  <c r="H10" i="5"/>
  <c r="B283" i="35" s="1"/>
  <c r="T4" i="5"/>
  <c r="F218" i="35" s="1"/>
  <c r="R5" i="5"/>
  <c r="X35" i="5"/>
  <c r="Z34" i="5"/>
  <c r="H315" i="35" s="1"/>
  <c r="AA11" i="5"/>
  <c r="AC10" i="5"/>
  <c r="I283" i="35" s="1"/>
  <c r="L29" i="5"/>
  <c r="N28" i="5"/>
  <c r="D307" i="35" s="1"/>
  <c r="I41" i="5"/>
  <c r="K40" i="5"/>
  <c r="C323" i="35" s="1"/>
  <c r="F53" i="5"/>
  <c r="H52" i="5"/>
  <c r="B339" i="35" s="1"/>
  <c r="AD12" i="5"/>
  <c r="AF11" i="5"/>
  <c r="J284" i="35" s="1"/>
  <c r="X47" i="5"/>
  <c r="Z46" i="5"/>
  <c r="H331" i="35" s="1"/>
  <c r="AA59" i="5"/>
  <c r="AC58" i="5"/>
  <c r="K22" i="5"/>
  <c r="C299" i="35" s="1"/>
  <c r="I23" i="5"/>
  <c r="F35" i="5"/>
  <c r="H34" i="5"/>
  <c r="B315" i="35" s="1"/>
  <c r="AG17" i="5"/>
  <c r="AI16" i="5"/>
  <c r="K291" i="35" s="1"/>
  <c r="I35" i="5"/>
  <c r="K34" i="5"/>
  <c r="C315" i="35" s="1"/>
  <c r="AM23" i="5"/>
  <c r="AO22" i="5"/>
  <c r="M299" i="35" s="1"/>
  <c r="L41" i="5"/>
  <c r="N40" i="5"/>
  <c r="D323" i="35" s="1"/>
  <c r="L53" i="5"/>
  <c r="N52" i="5"/>
  <c r="D339" i="35" s="1"/>
  <c r="AD24" i="5"/>
  <c r="AF23" i="5"/>
  <c r="J301" i="35" s="1"/>
  <c r="AI46" i="5"/>
  <c r="K331" i="35" s="1"/>
  <c r="AG47" i="5"/>
  <c r="O59" i="5"/>
  <c r="Q58" i="5"/>
  <c r="AC4" i="5"/>
  <c r="I218" i="35" s="1"/>
  <c r="AA5" i="5"/>
  <c r="W16" i="5"/>
  <c r="G291" i="35" s="1"/>
  <c r="U17" i="5"/>
  <c r="AA23" i="5"/>
  <c r="AC22" i="5"/>
  <c r="I299" i="35" s="1"/>
  <c r="N16" i="5"/>
  <c r="D291" i="35" s="1"/>
  <c r="L17" i="5"/>
  <c r="AG41" i="5"/>
  <c r="AI40" i="5"/>
  <c r="K323" i="35" s="1"/>
  <c r="AO58" i="5"/>
  <c r="AM59" i="5"/>
  <c r="N34" i="5"/>
  <c r="D315" i="35" s="1"/>
  <c r="L35" i="5"/>
  <c r="Q34" i="5"/>
  <c r="E315" i="35" s="1"/>
  <c r="O35" i="5"/>
  <c r="T46" i="5"/>
  <c r="F331" i="35" s="1"/>
  <c r="R47" i="5"/>
  <c r="R11" i="5"/>
  <c r="T10" i="5"/>
  <c r="F283" i="35" s="1"/>
  <c r="AL46" i="5"/>
  <c r="L331" i="35" s="1"/>
  <c r="AJ47" i="5"/>
  <c r="AC52" i="5"/>
  <c r="I339" i="35" s="1"/>
  <c r="AA53" i="5"/>
  <c r="O17" i="5"/>
  <c r="Q16" i="5"/>
  <c r="E291" i="35" s="1"/>
  <c r="T40" i="5"/>
  <c r="F323" i="35" s="1"/>
  <c r="R41" i="5"/>
  <c r="F29" i="5"/>
  <c r="H28" i="5"/>
  <c r="B307" i="35" s="1"/>
  <c r="F23" i="5"/>
  <c r="H22" i="5"/>
  <c r="B299" i="35" s="1"/>
  <c r="AJ29" i="5"/>
  <c r="AL28" i="5"/>
  <c r="L307" i="35" s="1"/>
  <c r="L11" i="5"/>
  <c r="N10" i="5"/>
  <c r="D283" i="35" s="1"/>
  <c r="I59" i="5"/>
  <c r="K58" i="5"/>
  <c r="K52" i="5"/>
  <c r="C339" i="35" s="1"/>
  <c r="I53" i="5"/>
  <c r="Z40" i="5"/>
  <c r="H323" i="35" s="1"/>
  <c r="X41" i="5"/>
  <c r="N22" i="5"/>
  <c r="D299" i="35" s="1"/>
  <c r="L23" i="5"/>
  <c r="U29" i="5"/>
  <c r="W28" i="5"/>
  <c r="G307" i="35" s="1"/>
  <c r="AA29" i="5"/>
  <c r="AC28" i="5"/>
  <c r="I307" i="35" s="1"/>
  <c r="R59" i="5"/>
  <c r="T58" i="5"/>
  <c r="AI28" i="5"/>
  <c r="K307" i="35" s="1"/>
  <c r="AG29" i="5"/>
  <c r="AD53" i="5"/>
  <c r="AF52" i="5"/>
  <c r="J339" i="35" s="1"/>
  <c r="I5" i="5"/>
  <c r="K4" i="5"/>
  <c r="C218" i="35" s="1"/>
  <c r="H40" i="5"/>
  <c r="B323" i="35" s="1"/>
  <c r="F41" i="5"/>
  <c r="K10" i="5"/>
  <c r="C283" i="35" s="1"/>
  <c r="I11" i="5"/>
  <c r="AM11" i="5"/>
  <c r="AO10" i="5"/>
  <c r="M283" i="35" s="1"/>
  <c r="AO17" i="5"/>
  <c r="M293" i="35" s="1"/>
  <c r="AM18" i="5"/>
  <c r="O41" i="5"/>
  <c r="Q40" i="5"/>
  <c r="E323" i="35" s="1"/>
  <c r="X59" i="5"/>
  <c r="Z58" i="5"/>
  <c r="W52" i="5"/>
  <c r="G339" i="35" s="1"/>
  <c r="U53" i="5"/>
  <c r="N268" i="35"/>
  <c r="B260" i="35"/>
  <c r="B268" i="35"/>
  <c r="H268" i="35"/>
  <c r="H260" i="35"/>
  <c r="F268" i="35"/>
  <c r="F260" i="35"/>
  <c r="G257" i="35"/>
  <c r="C257" i="35"/>
  <c r="F257" i="35"/>
  <c r="D257" i="35"/>
  <c r="J257" i="35"/>
  <c r="H257" i="35"/>
  <c r="J265" i="35"/>
  <c r="F265" i="35"/>
  <c r="B265" i="35"/>
  <c r="I257" i="35"/>
  <c r="E257" i="35"/>
  <c r="B257" i="35"/>
  <c r="J258" i="35"/>
  <c r="F258" i="35"/>
  <c r="G258" i="35"/>
  <c r="I258" i="35"/>
  <c r="E258" i="35"/>
  <c r="B258" i="35"/>
  <c r="C258" i="35"/>
  <c r="H266" i="35"/>
  <c r="D266" i="35"/>
  <c r="H258" i="35"/>
  <c r="D258" i="35"/>
  <c r="D268" i="35"/>
  <c r="D260" i="35"/>
  <c r="J260" i="35"/>
  <c r="J268" i="35"/>
  <c r="E268" i="35"/>
  <c r="E260" i="35"/>
  <c r="C268" i="35"/>
  <c r="C260" i="35"/>
  <c r="I268" i="35"/>
  <c r="I260" i="35"/>
  <c r="H265" i="35"/>
  <c r="D265" i="35"/>
  <c r="G265" i="35"/>
  <c r="I265" i="35"/>
  <c r="C265" i="35"/>
  <c r="E265" i="35"/>
  <c r="J266" i="35"/>
  <c r="F266" i="35"/>
  <c r="B266" i="35"/>
  <c r="I266" i="35"/>
  <c r="E266" i="35"/>
  <c r="C266" i="35"/>
  <c r="G266" i="35"/>
  <c r="G268" i="35"/>
  <c r="G260" i="35"/>
  <c r="O268" i="35"/>
  <c r="H267" i="35"/>
  <c r="D267" i="35"/>
  <c r="H259" i="35"/>
  <c r="D259" i="35"/>
  <c r="B259" i="35"/>
  <c r="G259" i="35"/>
  <c r="J259" i="35"/>
  <c r="F259" i="35"/>
  <c r="I259" i="35"/>
  <c r="O267" i="35"/>
  <c r="G267" i="35"/>
  <c r="C267" i="35"/>
  <c r="C259" i="35"/>
  <c r="E267" i="35"/>
  <c r="N267" i="35"/>
  <c r="J267" i="35"/>
  <c r="F267" i="35"/>
  <c r="B267" i="35"/>
  <c r="I267" i="35"/>
  <c r="E259" i="35"/>
  <c r="Y55" i="35"/>
  <c r="C57" i="5"/>
  <c r="C51" i="5"/>
  <c r="C45" i="5"/>
  <c r="C39" i="5"/>
  <c r="C33" i="5"/>
  <c r="C27" i="5"/>
  <c r="C21" i="5"/>
  <c r="C15" i="5"/>
  <c r="C9" i="5"/>
  <c r="C3" i="5"/>
  <c r="I253" i="35" l="1"/>
  <c r="K248" i="35"/>
  <c r="K264" i="35"/>
  <c r="L240" i="35"/>
  <c r="K256" i="35"/>
  <c r="K274" i="35"/>
  <c r="K289" i="35"/>
  <c r="K280" i="35"/>
  <c r="J249" i="35"/>
  <c r="J251" i="35"/>
  <c r="J252" i="35"/>
  <c r="J250" i="35"/>
  <c r="I262" i="35"/>
  <c r="D261" i="35"/>
  <c r="E261" i="35"/>
  <c r="D270" i="35"/>
  <c r="H269" i="35"/>
  <c r="H261" i="35"/>
  <c r="J269" i="35"/>
  <c r="J262" i="35"/>
  <c r="C269" i="35"/>
  <c r="B261" i="35"/>
  <c r="J261" i="35"/>
  <c r="F269" i="35"/>
  <c r="I269" i="35"/>
  <c r="F261" i="35"/>
  <c r="B269" i="35"/>
  <c r="E269" i="35"/>
  <c r="C261" i="35"/>
  <c r="G261" i="35"/>
  <c r="E262" i="35"/>
  <c r="G269" i="35"/>
  <c r="C262" i="35"/>
  <c r="G262" i="35"/>
  <c r="F262" i="35"/>
  <c r="I261" i="35"/>
  <c r="D269" i="35"/>
  <c r="F270" i="35"/>
  <c r="B262" i="35"/>
  <c r="C270" i="35"/>
  <c r="H262" i="35"/>
  <c r="G270" i="35"/>
  <c r="J270" i="35"/>
  <c r="D262" i="35"/>
  <c r="H270" i="35"/>
  <c r="I270" i="35"/>
  <c r="E270" i="35"/>
  <c r="B270" i="35"/>
  <c r="AC65" i="5"/>
  <c r="I349" i="35" s="1"/>
  <c r="AA66" i="5"/>
  <c r="T146" i="5"/>
  <c r="F415" i="35" s="1"/>
  <c r="R147" i="5"/>
  <c r="I147" i="5"/>
  <c r="K146" i="5"/>
  <c r="C415" i="35" s="1"/>
  <c r="AG84" i="5"/>
  <c r="AI83" i="5"/>
  <c r="K373" i="35" s="1"/>
  <c r="AA102" i="5"/>
  <c r="AC101" i="5"/>
  <c r="I397" i="35" s="1"/>
  <c r="T65" i="5"/>
  <c r="F349" i="35" s="1"/>
  <c r="R66" i="5"/>
  <c r="AC152" i="5"/>
  <c r="I236" i="35" s="1"/>
  <c r="AA153" i="5"/>
  <c r="F114" i="5"/>
  <c r="H113" i="5"/>
  <c r="B227" i="35" s="1"/>
  <c r="H77" i="5"/>
  <c r="B365" i="35" s="1"/>
  <c r="F78" i="5"/>
  <c r="AI65" i="5"/>
  <c r="K349" i="35" s="1"/>
  <c r="AG66" i="5"/>
  <c r="Q146" i="5"/>
  <c r="E415" i="35" s="1"/>
  <c r="O147" i="5"/>
  <c r="Q95" i="5"/>
  <c r="E389" i="35" s="1"/>
  <c r="O96" i="5"/>
  <c r="AJ147" i="5"/>
  <c r="AL146" i="5"/>
  <c r="L415" i="35" s="1"/>
  <c r="L72" i="5"/>
  <c r="N71" i="5"/>
  <c r="D357" i="35" s="1"/>
  <c r="R108" i="5"/>
  <c r="T107" i="5"/>
  <c r="F405" i="35" s="1"/>
  <c r="O66" i="5"/>
  <c r="Q65" i="5"/>
  <c r="E349" i="35" s="1"/>
  <c r="AG114" i="5"/>
  <c r="AI113" i="5"/>
  <c r="K227" i="35" s="1"/>
  <c r="AF152" i="5"/>
  <c r="J236" i="35" s="1"/>
  <c r="AD153" i="5"/>
  <c r="T77" i="5"/>
  <c r="F365" i="35" s="1"/>
  <c r="R78" i="5"/>
  <c r="T152" i="5"/>
  <c r="F236" i="35" s="1"/>
  <c r="R153" i="5"/>
  <c r="O153" i="5"/>
  <c r="Q152" i="5"/>
  <c r="E236" i="35" s="1"/>
  <c r="L147" i="5"/>
  <c r="N146" i="5"/>
  <c r="D415" i="35" s="1"/>
  <c r="W71" i="5"/>
  <c r="G357" i="35" s="1"/>
  <c r="U72" i="5"/>
  <c r="AL152" i="5"/>
  <c r="L236" i="35" s="1"/>
  <c r="AJ153" i="5"/>
  <c r="AL113" i="5"/>
  <c r="L227" i="35" s="1"/>
  <c r="AJ114" i="5"/>
  <c r="K101" i="5"/>
  <c r="C397" i="35" s="1"/>
  <c r="I102" i="5"/>
  <c r="K83" i="5"/>
  <c r="C373" i="35" s="1"/>
  <c r="I84" i="5"/>
  <c r="AA84" i="5"/>
  <c r="AC83" i="5"/>
  <c r="I373" i="35" s="1"/>
  <c r="R90" i="5"/>
  <c r="T89" i="5"/>
  <c r="F381" i="35" s="1"/>
  <c r="AD96" i="5"/>
  <c r="AF95" i="5"/>
  <c r="J389" i="35" s="1"/>
  <c r="H152" i="5"/>
  <c r="B236" i="35" s="1"/>
  <c r="F153" i="5"/>
  <c r="AG108" i="5"/>
  <c r="AI107" i="5"/>
  <c r="K405" i="35" s="1"/>
  <c r="N113" i="5"/>
  <c r="D227" i="35" s="1"/>
  <c r="L114" i="5"/>
  <c r="I72" i="5"/>
  <c r="K71" i="5"/>
  <c r="C357" i="35" s="1"/>
  <c r="N107" i="5"/>
  <c r="D405" i="35" s="1"/>
  <c r="L108" i="5"/>
  <c r="AL89" i="5"/>
  <c r="L381" i="35" s="1"/>
  <c r="AJ90" i="5"/>
  <c r="O84" i="5"/>
  <c r="Q83" i="5"/>
  <c r="E373" i="35" s="1"/>
  <c r="W89" i="5"/>
  <c r="G381" i="35" s="1"/>
  <c r="U90" i="5"/>
  <c r="AG78" i="5"/>
  <c r="AI77" i="5"/>
  <c r="K365" i="35" s="1"/>
  <c r="AO152" i="5"/>
  <c r="M236" i="35" s="1"/>
  <c r="AM153" i="5"/>
  <c r="U153" i="5"/>
  <c r="W152" i="5"/>
  <c r="G236" i="35" s="1"/>
  <c r="AI101" i="5"/>
  <c r="K397" i="35" s="1"/>
  <c r="AG102" i="5"/>
  <c r="AF65" i="5"/>
  <c r="J349" i="35" s="1"/>
  <c r="AD66" i="5"/>
  <c r="N83" i="5"/>
  <c r="D373" i="35" s="1"/>
  <c r="L84" i="5"/>
  <c r="X73" i="5"/>
  <c r="Z73" i="5" s="1"/>
  <c r="H359" i="35" s="1"/>
  <c r="Z72" i="5"/>
  <c r="H358" i="35" s="1"/>
  <c r="N101" i="5"/>
  <c r="D397" i="35" s="1"/>
  <c r="L102" i="5"/>
  <c r="F90" i="5"/>
  <c r="H89" i="5"/>
  <c r="B381" i="35" s="1"/>
  <c r="O108" i="5"/>
  <c r="Q107" i="5"/>
  <c r="E405" i="35" s="1"/>
  <c r="W77" i="5"/>
  <c r="G365" i="35" s="1"/>
  <c r="U78" i="5"/>
  <c r="AF83" i="5"/>
  <c r="J373" i="35" s="1"/>
  <c r="AD84" i="5"/>
  <c r="L96" i="5"/>
  <c r="N95" i="5"/>
  <c r="D389" i="35" s="1"/>
  <c r="AO65" i="5"/>
  <c r="M349" i="35" s="1"/>
  <c r="AM66" i="5"/>
  <c r="Q101" i="5"/>
  <c r="E397" i="35" s="1"/>
  <c r="O102" i="5"/>
  <c r="AC146" i="5"/>
  <c r="I415" i="35" s="1"/>
  <c r="AA147" i="5"/>
  <c r="AC95" i="5"/>
  <c r="I389" i="35" s="1"/>
  <c r="AA96" i="5"/>
  <c r="X108" i="5"/>
  <c r="Z107" i="5"/>
  <c r="H405" i="35" s="1"/>
  <c r="R102" i="5"/>
  <c r="T101" i="5"/>
  <c r="F397" i="35" s="1"/>
  <c r="Z146" i="5"/>
  <c r="H415" i="35" s="1"/>
  <c r="X147" i="5"/>
  <c r="AM147" i="5"/>
  <c r="AO146" i="5"/>
  <c r="M415" i="35" s="1"/>
  <c r="AF77" i="5"/>
  <c r="J365" i="35" s="1"/>
  <c r="AD78" i="5"/>
  <c r="K77" i="5"/>
  <c r="C365" i="35" s="1"/>
  <c r="I78" i="5"/>
  <c r="N66" i="5"/>
  <c r="D350" i="35" s="1"/>
  <c r="L67" i="5"/>
  <c r="N67" i="5" s="1"/>
  <c r="D351" i="35" s="1"/>
  <c r="X153" i="5"/>
  <c r="Z152" i="5"/>
  <c r="H236" i="35" s="1"/>
  <c r="AF107" i="5"/>
  <c r="J405" i="35" s="1"/>
  <c r="AD108" i="5"/>
  <c r="U84" i="5"/>
  <c r="W83" i="5"/>
  <c r="G373" i="35" s="1"/>
  <c r="X114" i="5"/>
  <c r="Z113" i="5"/>
  <c r="H227" i="35" s="1"/>
  <c r="X78" i="5"/>
  <c r="Z77" i="5"/>
  <c r="H365" i="35" s="1"/>
  <c r="T72" i="5"/>
  <c r="F358" i="35" s="1"/>
  <c r="R73" i="5"/>
  <c r="T73" i="5" s="1"/>
  <c r="F359" i="35" s="1"/>
  <c r="O90" i="5"/>
  <c r="Q89" i="5"/>
  <c r="E381" i="35" s="1"/>
  <c r="Z101" i="5"/>
  <c r="H397" i="35" s="1"/>
  <c r="X102" i="5"/>
  <c r="AJ109" i="5"/>
  <c r="AL109" i="5" s="1"/>
  <c r="L407" i="35" s="1"/>
  <c r="AL108" i="5"/>
  <c r="L406" i="35" s="1"/>
  <c r="Q71" i="5"/>
  <c r="E357" i="35" s="1"/>
  <c r="O72" i="5"/>
  <c r="AD91" i="5"/>
  <c r="AF91" i="5" s="1"/>
  <c r="J383" i="35" s="1"/>
  <c r="AF90" i="5"/>
  <c r="J382" i="35" s="1"/>
  <c r="T95" i="5"/>
  <c r="F389" i="35" s="1"/>
  <c r="R96" i="5"/>
  <c r="F147" i="5"/>
  <c r="H146" i="5"/>
  <c r="B415" i="35" s="1"/>
  <c r="AM84" i="5"/>
  <c r="AO83" i="5"/>
  <c r="M373" i="35" s="1"/>
  <c r="I96" i="5"/>
  <c r="K95" i="5"/>
  <c r="C389" i="35" s="1"/>
  <c r="U67" i="5"/>
  <c r="W67" i="5" s="1"/>
  <c r="G351" i="35" s="1"/>
  <c r="W66" i="5"/>
  <c r="G350" i="35" s="1"/>
  <c r="AG96" i="5"/>
  <c r="AI95" i="5"/>
  <c r="K389" i="35" s="1"/>
  <c r="F66" i="5"/>
  <c r="H65" i="5"/>
  <c r="B349" i="35" s="1"/>
  <c r="U96" i="5"/>
  <c r="W95" i="5"/>
  <c r="G389" i="35" s="1"/>
  <c r="N89" i="5"/>
  <c r="D381" i="35" s="1"/>
  <c r="L90" i="5"/>
  <c r="O78" i="5"/>
  <c r="Q77" i="5"/>
  <c r="E365" i="35" s="1"/>
  <c r="AC71" i="5"/>
  <c r="I357" i="35" s="1"/>
  <c r="AA72" i="5"/>
  <c r="AL65" i="5"/>
  <c r="L349" i="35" s="1"/>
  <c r="AJ66" i="5"/>
  <c r="AJ78" i="5"/>
  <c r="AL77" i="5"/>
  <c r="L365" i="35" s="1"/>
  <c r="Z65" i="5"/>
  <c r="H349" i="35" s="1"/>
  <c r="X66" i="5"/>
  <c r="AO71" i="5"/>
  <c r="M357" i="35" s="1"/>
  <c r="AM72" i="5"/>
  <c r="AF147" i="5"/>
  <c r="J416" i="35" s="1"/>
  <c r="AD148" i="5"/>
  <c r="AF148" i="5" s="1"/>
  <c r="J417" i="35" s="1"/>
  <c r="I153" i="5"/>
  <c r="K152" i="5"/>
  <c r="C236" i="35" s="1"/>
  <c r="AD102" i="5"/>
  <c r="AF101" i="5"/>
  <c r="J397" i="35" s="1"/>
  <c r="AO113" i="5"/>
  <c r="M227" i="35" s="1"/>
  <c r="AM114" i="5"/>
  <c r="H107" i="5"/>
  <c r="B405" i="35" s="1"/>
  <c r="F108" i="5"/>
  <c r="AF113" i="5"/>
  <c r="J227" i="35" s="1"/>
  <c r="AD114" i="5"/>
  <c r="X96" i="5"/>
  <c r="Z95" i="5"/>
  <c r="H389" i="35" s="1"/>
  <c r="AM108" i="5"/>
  <c r="AO107" i="5"/>
  <c r="M405" i="35" s="1"/>
  <c r="AG72" i="5"/>
  <c r="AI71" i="5"/>
  <c r="K357" i="35" s="1"/>
  <c r="AL83" i="5"/>
  <c r="L373" i="35" s="1"/>
  <c r="AJ84" i="5"/>
  <c r="AJ72" i="5"/>
  <c r="AL71" i="5"/>
  <c r="L357" i="35" s="1"/>
  <c r="U102" i="5"/>
  <c r="W101" i="5"/>
  <c r="G397" i="35" s="1"/>
  <c r="F84" i="5"/>
  <c r="H83" i="5"/>
  <c r="B373" i="35" s="1"/>
  <c r="AC77" i="5"/>
  <c r="I365" i="35" s="1"/>
  <c r="AA78" i="5"/>
  <c r="W146" i="5"/>
  <c r="G415" i="35" s="1"/>
  <c r="U147" i="5"/>
  <c r="AO89" i="5"/>
  <c r="M381" i="35" s="1"/>
  <c r="AM90" i="5"/>
  <c r="AM78" i="5"/>
  <c r="AO77" i="5"/>
  <c r="M365" i="35" s="1"/>
  <c r="AA90" i="5"/>
  <c r="AC89" i="5"/>
  <c r="I381" i="35" s="1"/>
  <c r="AG147" i="5"/>
  <c r="AI146" i="5"/>
  <c r="K415" i="35" s="1"/>
  <c r="F72" i="5"/>
  <c r="H71" i="5"/>
  <c r="B357" i="35" s="1"/>
  <c r="H95" i="5"/>
  <c r="B389" i="35" s="1"/>
  <c r="F96" i="5"/>
  <c r="U114" i="5"/>
  <c r="W113" i="5"/>
  <c r="G227" i="35" s="1"/>
  <c r="AO95" i="5"/>
  <c r="M389" i="35" s="1"/>
  <c r="AM96" i="5"/>
  <c r="AI153" i="5"/>
  <c r="K237" i="35" s="1"/>
  <c r="AG154" i="5"/>
  <c r="AI154" i="5" s="1"/>
  <c r="K238" i="35" s="1"/>
  <c r="H101" i="5"/>
  <c r="B397" i="35" s="1"/>
  <c r="F102" i="5"/>
  <c r="W107" i="5"/>
  <c r="G405" i="35" s="1"/>
  <c r="U108" i="5"/>
  <c r="N152" i="5"/>
  <c r="D236" i="35" s="1"/>
  <c r="L153" i="5"/>
  <c r="AG90" i="5"/>
  <c r="AI89" i="5"/>
  <c r="K381" i="35" s="1"/>
  <c r="I114" i="5"/>
  <c r="K113" i="5"/>
  <c r="C227" i="35" s="1"/>
  <c r="AO101" i="5"/>
  <c r="M397" i="35" s="1"/>
  <c r="AM102" i="5"/>
  <c r="T113" i="5"/>
  <c r="F227" i="35" s="1"/>
  <c r="R114" i="5"/>
  <c r="Z89" i="5"/>
  <c r="H381" i="35" s="1"/>
  <c r="X90" i="5"/>
  <c r="I66" i="5"/>
  <c r="K65" i="5"/>
  <c r="C349" i="35" s="1"/>
  <c r="I108" i="5"/>
  <c r="K107" i="5"/>
  <c r="C405" i="35" s="1"/>
  <c r="AL101" i="5"/>
  <c r="L397" i="35" s="1"/>
  <c r="AJ102" i="5"/>
  <c r="L78" i="5"/>
  <c r="N77" i="5"/>
  <c r="D365" i="35" s="1"/>
  <c r="I90" i="5"/>
  <c r="K89" i="5"/>
  <c r="C381" i="35" s="1"/>
  <c r="X84" i="5"/>
  <c r="Z83" i="5"/>
  <c r="H373" i="35" s="1"/>
  <c r="AJ96" i="5"/>
  <c r="AL95" i="5"/>
  <c r="L389" i="35" s="1"/>
  <c r="R84" i="5"/>
  <c r="T83" i="5"/>
  <c r="F373" i="35" s="1"/>
  <c r="AF71" i="5"/>
  <c r="J357" i="35" s="1"/>
  <c r="AD72" i="5"/>
  <c r="AC107" i="5"/>
  <c r="I405" i="35" s="1"/>
  <c r="AA108" i="5"/>
  <c r="U54" i="5"/>
  <c r="W53" i="5"/>
  <c r="G341" i="35" s="1"/>
  <c r="H41" i="5"/>
  <c r="B325" i="35" s="1"/>
  <c r="F42" i="5"/>
  <c r="AG30" i="5"/>
  <c r="AI29" i="5"/>
  <c r="K309" i="35" s="1"/>
  <c r="N23" i="5"/>
  <c r="D301" i="35" s="1"/>
  <c r="L24" i="5"/>
  <c r="I54" i="5"/>
  <c r="K53" i="5"/>
  <c r="C341" i="35" s="1"/>
  <c r="T41" i="5"/>
  <c r="F325" i="35" s="1"/>
  <c r="R42" i="5"/>
  <c r="AL47" i="5"/>
  <c r="L333" i="35" s="1"/>
  <c r="AJ48" i="5"/>
  <c r="T47" i="5"/>
  <c r="F333" i="35" s="1"/>
  <c r="R48" i="5"/>
  <c r="AO59" i="5"/>
  <c r="AM60" i="5"/>
  <c r="N17" i="5"/>
  <c r="D293" i="35" s="1"/>
  <c r="L18" i="5"/>
  <c r="W17" i="5"/>
  <c r="G293" i="35" s="1"/>
  <c r="U18" i="5"/>
  <c r="K23" i="5"/>
  <c r="C301" i="35" s="1"/>
  <c r="I24" i="5"/>
  <c r="T5" i="5"/>
  <c r="F219" i="35" s="1"/>
  <c r="R6" i="5"/>
  <c r="AF47" i="5"/>
  <c r="J333" i="35" s="1"/>
  <c r="AD48" i="5"/>
  <c r="AL59" i="5"/>
  <c r="AJ60" i="5"/>
  <c r="AF5" i="5"/>
  <c r="J219" i="35" s="1"/>
  <c r="AD6" i="5"/>
  <c r="AC47" i="5"/>
  <c r="I333" i="35" s="1"/>
  <c r="AA48" i="5"/>
  <c r="U36" i="5"/>
  <c r="W35" i="5"/>
  <c r="G317" i="35" s="1"/>
  <c r="AM54" i="5"/>
  <c r="AO53" i="5"/>
  <c r="M341" i="35" s="1"/>
  <c r="Q53" i="5"/>
  <c r="E341" i="35" s="1"/>
  <c r="O54" i="5"/>
  <c r="H47" i="5"/>
  <c r="B333" i="35" s="1"/>
  <c r="F48" i="5"/>
  <c r="AG6" i="5"/>
  <c r="AI5" i="5"/>
  <c r="K219" i="35" s="1"/>
  <c r="AF59" i="5"/>
  <c r="AD60" i="5"/>
  <c r="L60" i="5"/>
  <c r="N59" i="5"/>
  <c r="U12" i="5"/>
  <c r="W11" i="5"/>
  <c r="G284" i="35" s="1"/>
  <c r="AJ12" i="5"/>
  <c r="AL11" i="5"/>
  <c r="L284" i="35" s="1"/>
  <c r="AM36" i="5"/>
  <c r="AO35" i="5"/>
  <c r="M317" i="35" s="1"/>
  <c r="Z17" i="5"/>
  <c r="H293" i="35" s="1"/>
  <c r="X18" i="5"/>
  <c r="AL35" i="5"/>
  <c r="L317" i="35" s="1"/>
  <c r="AJ36" i="5"/>
  <c r="O48" i="5"/>
  <c r="Q47" i="5"/>
  <c r="E333" i="35" s="1"/>
  <c r="Q41" i="5"/>
  <c r="E325" i="35" s="1"/>
  <c r="O42" i="5"/>
  <c r="AM12" i="5"/>
  <c r="AO11" i="5"/>
  <c r="M284" i="35" s="1"/>
  <c r="AA30" i="5"/>
  <c r="AC29" i="5"/>
  <c r="I309" i="35" s="1"/>
  <c r="N11" i="5"/>
  <c r="D284" i="35" s="1"/>
  <c r="L12" i="5"/>
  <c r="F24" i="5"/>
  <c r="H23" i="5"/>
  <c r="B301" i="35" s="1"/>
  <c r="Q59" i="5"/>
  <c r="O60" i="5"/>
  <c r="AD25" i="5"/>
  <c r="AF25" i="5" s="1"/>
  <c r="J303" i="35" s="1"/>
  <c r="AF24" i="5"/>
  <c r="J302" i="35" s="1"/>
  <c r="N53" i="5"/>
  <c r="D341" i="35" s="1"/>
  <c r="L54" i="5"/>
  <c r="L42" i="5"/>
  <c r="N41" i="5"/>
  <c r="D325" i="35" s="1"/>
  <c r="AG18" i="5"/>
  <c r="AI17" i="5"/>
  <c r="K293" i="35" s="1"/>
  <c r="X48" i="5"/>
  <c r="Z47" i="5"/>
  <c r="H333" i="35" s="1"/>
  <c r="H53" i="5"/>
  <c r="B341" i="35" s="1"/>
  <c r="F54" i="5"/>
  <c r="AA12" i="5"/>
  <c r="AC11" i="5"/>
  <c r="I284" i="35" s="1"/>
  <c r="X54" i="5"/>
  <c r="Z53" i="5"/>
  <c r="H341" i="35" s="1"/>
  <c r="T35" i="5"/>
  <c r="F317" i="35" s="1"/>
  <c r="R36" i="5"/>
  <c r="U42" i="5"/>
  <c r="W41" i="5"/>
  <c r="G325" i="35" s="1"/>
  <c r="AM30" i="5"/>
  <c r="AO29" i="5"/>
  <c r="M309" i="35" s="1"/>
  <c r="K47" i="5"/>
  <c r="C333" i="35" s="1"/>
  <c r="I48" i="5"/>
  <c r="AJ6" i="5"/>
  <c r="AL5" i="5"/>
  <c r="L219" i="35" s="1"/>
  <c r="R18" i="5"/>
  <c r="T17" i="5"/>
  <c r="F293" i="35" s="1"/>
  <c r="AD37" i="5"/>
  <c r="AF37" i="5" s="1"/>
  <c r="J319" i="35" s="1"/>
  <c r="AF36" i="5"/>
  <c r="J318" i="35" s="1"/>
  <c r="Z5" i="5"/>
  <c r="H219" i="35" s="1"/>
  <c r="X6" i="5"/>
  <c r="AJ24" i="5"/>
  <c r="AL23" i="5"/>
  <c r="L301" i="35" s="1"/>
  <c r="F18" i="5"/>
  <c r="H17" i="5"/>
  <c r="B293" i="35" s="1"/>
  <c r="AL53" i="5"/>
  <c r="L341" i="35" s="1"/>
  <c r="AJ54" i="5"/>
  <c r="T53" i="5"/>
  <c r="F341" i="35" s="1"/>
  <c r="R54" i="5"/>
  <c r="U48" i="5"/>
  <c r="W47" i="5"/>
  <c r="G333" i="35" s="1"/>
  <c r="R25" i="5"/>
  <c r="T25" i="5" s="1"/>
  <c r="F303" i="35" s="1"/>
  <c r="T24" i="5"/>
  <c r="F302" i="35" s="1"/>
  <c r="AG24" i="5"/>
  <c r="AI23" i="5"/>
  <c r="K301" i="35" s="1"/>
  <c r="O6" i="5"/>
  <c r="Q5" i="5"/>
  <c r="E219" i="35" s="1"/>
  <c r="AO18" i="5"/>
  <c r="M294" i="35" s="1"/>
  <c r="AM19" i="5"/>
  <c r="AO19" i="5" s="1"/>
  <c r="M295" i="35" s="1"/>
  <c r="K11" i="5"/>
  <c r="C284" i="35" s="1"/>
  <c r="I12" i="5"/>
  <c r="X42" i="5"/>
  <c r="Z41" i="5"/>
  <c r="H325" i="35" s="1"/>
  <c r="AC53" i="5"/>
  <c r="I341" i="35" s="1"/>
  <c r="AA54" i="5"/>
  <c r="Q35" i="5"/>
  <c r="E317" i="35" s="1"/>
  <c r="O36" i="5"/>
  <c r="N35" i="5"/>
  <c r="D317" i="35" s="1"/>
  <c r="L36" i="5"/>
  <c r="AA6" i="5"/>
  <c r="AC5" i="5"/>
  <c r="I219" i="35" s="1"/>
  <c r="AI47" i="5"/>
  <c r="K333" i="35" s="1"/>
  <c r="AG48" i="5"/>
  <c r="AI53" i="5"/>
  <c r="K341" i="35" s="1"/>
  <c r="AG54" i="5"/>
  <c r="AD42" i="5"/>
  <c r="AF41" i="5"/>
  <c r="J325" i="35" s="1"/>
  <c r="AJ42" i="5"/>
  <c r="AL41" i="5"/>
  <c r="L325" i="35" s="1"/>
  <c r="AC35" i="5"/>
  <c r="I317" i="35" s="1"/>
  <c r="AA36" i="5"/>
  <c r="AC41" i="5"/>
  <c r="I325" i="35" s="1"/>
  <c r="AA42" i="5"/>
  <c r="X24" i="5"/>
  <c r="Z23" i="5"/>
  <c r="H301" i="35" s="1"/>
  <c r="K30" i="5"/>
  <c r="C310" i="35" s="1"/>
  <c r="I31" i="5"/>
  <c r="K31" i="5" s="1"/>
  <c r="C311" i="35" s="1"/>
  <c r="I18" i="5"/>
  <c r="K17" i="5"/>
  <c r="C293" i="35" s="1"/>
  <c r="X60" i="5"/>
  <c r="Z59" i="5"/>
  <c r="K5" i="5"/>
  <c r="C219" i="35" s="1"/>
  <c r="I6" i="5"/>
  <c r="AF53" i="5"/>
  <c r="J341" i="35" s="1"/>
  <c r="AD54" i="5"/>
  <c r="R60" i="5"/>
  <c r="T59" i="5"/>
  <c r="U30" i="5"/>
  <c r="W29" i="5"/>
  <c r="G309" i="35" s="1"/>
  <c r="I60" i="5"/>
  <c r="K59" i="5"/>
  <c r="AL29" i="5"/>
  <c r="L309" i="35" s="1"/>
  <c r="AJ30" i="5"/>
  <c r="H29" i="5"/>
  <c r="B309" i="35" s="1"/>
  <c r="F30" i="5"/>
  <c r="O18" i="5"/>
  <c r="Q17" i="5"/>
  <c r="E293" i="35" s="1"/>
  <c r="R12" i="5"/>
  <c r="T11" i="5"/>
  <c r="F284" i="35" s="1"/>
  <c r="AI41" i="5"/>
  <c r="K325" i="35" s="1"/>
  <c r="AG42" i="5"/>
  <c r="AA24" i="5"/>
  <c r="AC23" i="5"/>
  <c r="I301" i="35" s="1"/>
  <c r="AO23" i="5"/>
  <c r="M301" i="35" s="1"/>
  <c r="AM24" i="5"/>
  <c r="K35" i="5"/>
  <c r="C317" i="35" s="1"/>
  <c r="I36" i="5"/>
  <c r="F36" i="5"/>
  <c r="H35" i="5"/>
  <c r="B317" i="35" s="1"/>
  <c r="AA60" i="5"/>
  <c r="AC59" i="5"/>
  <c r="AF12" i="5"/>
  <c r="J285" i="35" s="1"/>
  <c r="AD13" i="5"/>
  <c r="AF13" i="5" s="1"/>
  <c r="J286" i="35" s="1"/>
  <c r="K41" i="5"/>
  <c r="C325" i="35" s="1"/>
  <c r="I42" i="5"/>
  <c r="L30" i="5"/>
  <c r="N29" i="5"/>
  <c r="D309" i="35" s="1"/>
  <c r="Z35" i="5"/>
  <c r="H317" i="35" s="1"/>
  <c r="X36" i="5"/>
  <c r="H11" i="5"/>
  <c r="B284" i="35" s="1"/>
  <c r="F12" i="5"/>
  <c r="AM48" i="5"/>
  <c r="AO47" i="5"/>
  <c r="M333" i="35" s="1"/>
  <c r="AM6" i="5"/>
  <c r="AO5" i="5"/>
  <c r="M219" i="35" s="1"/>
  <c r="U24" i="5"/>
  <c r="W23" i="5"/>
  <c r="G301" i="35" s="1"/>
  <c r="N5" i="5"/>
  <c r="D219" i="35" s="1"/>
  <c r="L6" i="5"/>
  <c r="Q11" i="5"/>
  <c r="E284" i="35" s="1"/>
  <c r="O12" i="5"/>
  <c r="O24" i="5"/>
  <c r="Q23" i="5"/>
  <c r="E301" i="35" s="1"/>
  <c r="AG12" i="5"/>
  <c r="AI11" i="5"/>
  <c r="K284" i="35" s="1"/>
  <c r="AJ18" i="5"/>
  <c r="AL17" i="5"/>
  <c r="L293" i="35" s="1"/>
  <c r="W59" i="5"/>
  <c r="U60" i="5"/>
  <c r="L48" i="5"/>
  <c r="N47" i="5"/>
  <c r="D333" i="35" s="1"/>
  <c r="Q29" i="5"/>
  <c r="E309" i="35" s="1"/>
  <c r="O30" i="5"/>
  <c r="AI59" i="5"/>
  <c r="AG60" i="5"/>
  <c r="AC17" i="5"/>
  <c r="I293" i="35" s="1"/>
  <c r="AA18" i="5"/>
  <c r="AD31" i="5"/>
  <c r="AF31" i="5" s="1"/>
  <c r="J311" i="35" s="1"/>
  <c r="AF30" i="5"/>
  <c r="J310" i="35" s="1"/>
  <c r="X12" i="5"/>
  <c r="Z11" i="5"/>
  <c r="H284" i="35" s="1"/>
  <c r="AF17" i="5"/>
  <c r="J293" i="35" s="1"/>
  <c r="AD18" i="5"/>
  <c r="AO41" i="5"/>
  <c r="M325" i="35" s="1"/>
  <c r="AM42" i="5"/>
  <c r="W5" i="5"/>
  <c r="G219" i="35" s="1"/>
  <c r="U6" i="5"/>
  <c r="X30" i="5"/>
  <c r="Z29" i="5"/>
  <c r="H309" i="35" s="1"/>
  <c r="H5" i="5"/>
  <c r="B219" i="35" s="1"/>
  <c r="F6" i="5"/>
  <c r="AI35" i="5"/>
  <c r="K317" i="35" s="1"/>
  <c r="AG36" i="5"/>
  <c r="T29" i="5"/>
  <c r="F309" i="35" s="1"/>
  <c r="R30" i="5"/>
  <c r="F60" i="5"/>
  <c r="H59" i="5"/>
  <c r="J254" i="35" l="1"/>
  <c r="J253" i="35"/>
  <c r="K259" i="35"/>
  <c r="K261" i="35" s="1"/>
  <c r="K260" i="35"/>
  <c r="L264" i="35"/>
  <c r="L256" i="35"/>
  <c r="M240" i="35"/>
  <c r="L248" i="35"/>
  <c r="L280" i="35"/>
  <c r="L289" i="35"/>
  <c r="L274" i="35"/>
  <c r="K268" i="35"/>
  <c r="K267" i="35"/>
  <c r="K249" i="35"/>
  <c r="K251" i="35"/>
  <c r="K250" i="35"/>
  <c r="K252" i="35"/>
  <c r="K258" i="35"/>
  <c r="K257" i="35"/>
  <c r="K266" i="35"/>
  <c r="K265" i="35"/>
  <c r="AO96" i="5"/>
  <c r="M390" i="35" s="1"/>
  <c r="AM97" i="5"/>
  <c r="AO97" i="5" s="1"/>
  <c r="M391" i="35" s="1"/>
  <c r="U79" i="5"/>
  <c r="W79" i="5" s="1"/>
  <c r="G367" i="35" s="1"/>
  <c r="W78" i="5"/>
  <c r="G366" i="35" s="1"/>
  <c r="AD67" i="5"/>
  <c r="AF67" i="5" s="1"/>
  <c r="J351" i="35" s="1"/>
  <c r="AF66" i="5"/>
  <c r="J350" i="35" s="1"/>
  <c r="AM154" i="5"/>
  <c r="AO154" i="5" s="1"/>
  <c r="M238" i="35" s="1"/>
  <c r="AO153" i="5"/>
  <c r="M237" i="35" s="1"/>
  <c r="U91" i="5"/>
  <c r="W91" i="5" s="1"/>
  <c r="G383" i="35" s="1"/>
  <c r="W90" i="5"/>
  <c r="G382" i="35" s="1"/>
  <c r="AJ91" i="5"/>
  <c r="AL91" i="5" s="1"/>
  <c r="L383" i="35" s="1"/>
  <c r="AL90" i="5"/>
  <c r="L382" i="35" s="1"/>
  <c r="N108" i="5"/>
  <c r="D406" i="35" s="1"/>
  <c r="L109" i="5"/>
  <c r="N109" i="5" s="1"/>
  <c r="D407" i="35" s="1"/>
  <c r="N114" i="5"/>
  <c r="D228" i="35" s="1"/>
  <c r="L115" i="5"/>
  <c r="N115" i="5" s="1"/>
  <c r="D229" i="35" s="1"/>
  <c r="F154" i="5"/>
  <c r="H154" i="5" s="1"/>
  <c r="B238" i="35" s="1"/>
  <c r="H153" i="5"/>
  <c r="B237" i="35" s="1"/>
  <c r="I103" i="5"/>
  <c r="K103" i="5" s="1"/>
  <c r="C399" i="35" s="1"/>
  <c r="K102" i="5"/>
  <c r="C398" i="35" s="1"/>
  <c r="Q147" i="5"/>
  <c r="E416" i="35" s="1"/>
  <c r="O148" i="5"/>
  <c r="Q148" i="5" s="1"/>
  <c r="E417" i="35" s="1"/>
  <c r="AA154" i="5"/>
  <c r="AC154" i="5" s="1"/>
  <c r="I238" i="35" s="1"/>
  <c r="AC153" i="5"/>
  <c r="I237" i="35" s="1"/>
  <c r="Z84" i="5"/>
  <c r="H374" i="35" s="1"/>
  <c r="X85" i="5"/>
  <c r="Z85" i="5" s="1"/>
  <c r="H375" i="35" s="1"/>
  <c r="L79" i="5"/>
  <c r="N79" i="5" s="1"/>
  <c r="D367" i="35" s="1"/>
  <c r="N78" i="5"/>
  <c r="D366" i="35" s="1"/>
  <c r="K108" i="5"/>
  <c r="C406" i="35" s="1"/>
  <c r="I109" i="5"/>
  <c r="K109" i="5" s="1"/>
  <c r="C407" i="35" s="1"/>
  <c r="K66" i="5"/>
  <c r="C350" i="35" s="1"/>
  <c r="I67" i="5"/>
  <c r="K67" i="5" s="1"/>
  <c r="C351" i="35" s="1"/>
  <c r="AG91" i="5"/>
  <c r="AI91" i="5" s="1"/>
  <c r="K383" i="35" s="1"/>
  <c r="AI90" i="5"/>
  <c r="K382" i="35" s="1"/>
  <c r="W114" i="5"/>
  <c r="G228" i="35" s="1"/>
  <c r="U115" i="5"/>
  <c r="W115" i="5" s="1"/>
  <c r="G229" i="35" s="1"/>
  <c r="AI147" i="5"/>
  <c r="K416" i="35" s="1"/>
  <c r="AG148" i="5"/>
  <c r="AI148" i="5" s="1"/>
  <c r="K417" i="35" s="1"/>
  <c r="AM79" i="5"/>
  <c r="AO79" i="5" s="1"/>
  <c r="M367" i="35" s="1"/>
  <c r="AO78" i="5"/>
  <c r="M366" i="35" s="1"/>
  <c r="F85" i="5"/>
  <c r="H85" i="5" s="1"/>
  <c r="B375" i="35" s="1"/>
  <c r="H84" i="5"/>
  <c r="B374" i="35" s="1"/>
  <c r="AL72" i="5"/>
  <c r="L358" i="35" s="1"/>
  <c r="AJ73" i="5"/>
  <c r="AL73" i="5" s="1"/>
  <c r="L359" i="35" s="1"/>
  <c r="AI72" i="5"/>
  <c r="K358" i="35" s="1"/>
  <c r="AG73" i="5"/>
  <c r="AI73" i="5" s="1"/>
  <c r="K359" i="35" s="1"/>
  <c r="X97" i="5"/>
  <c r="Z97" i="5" s="1"/>
  <c r="H391" i="35" s="1"/>
  <c r="Z96" i="5"/>
  <c r="H390" i="35" s="1"/>
  <c r="AD103" i="5"/>
  <c r="AF103" i="5" s="1"/>
  <c r="J399" i="35" s="1"/>
  <c r="AF102" i="5"/>
  <c r="J398" i="35" s="1"/>
  <c r="O79" i="5"/>
  <c r="Q79" i="5" s="1"/>
  <c r="E367" i="35" s="1"/>
  <c r="Q78" i="5"/>
  <c r="E366" i="35" s="1"/>
  <c r="W96" i="5"/>
  <c r="G390" i="35" s="1"/>
  <c r="U97" i="5"/>
  <c r="W97" i="5" s="1"/>
  <c r="G391" i="35" s="1"/>
  <c r="H66" i="5"/>
  <c r="B350" i="35" s="1"/>
  <c r="F67" i="5"/>
  <c r="H67" i="5" s="1"/>
  <c r="B351" i="35" s="1"/>
  <c r="I97" i="5"/>
  <c r="K97" i="5" s="1"/>
  <c r="C391" i="35" s="1"/>
  <c r="K96" i="5"/>
  <c r="C390" i="35" s="1"/>
  <c r="F148" i="5"/>
  <c r="H148" i="5" s="1"/>
  <c r="B417" i="35" s="1"/>
  <c r="H147" i="5"/>
  <c r="B416" i="35" s="1"/>
  <c r="O91" i="5"/>
  <c r="Q91" i="5" s="1"/>
  <c r="E383" i="35" s="1"/>
  <c r="Q90" i="5"/>
  <c r="E382" i="35" s="1"/>
  <c r="U85" i="5"/>
  <c r="W85" i="5" s="1"/>
  <c r="G375" i="35" s="1"/>
  <c r="W84" i="5"/>
  <c r="G374" i="35" s="1"/>
  <c r="Z153" i="5"/>
  <c r="H237" i="35" s="1"/>
  <c r="X154" i="5"/>
  <c r="Z154" i="5" s="1"/>
  <c r="H238" i="35" s="1"/>
  <c r="AM148" i="5"/>
  <c r="AO148" i="5" s="1"/>
  <c r="M417" i="35" s="1"/>
  <c r="AO147" i="5"/>
  <c r="M416" i="35" s="1"/>
  <c r="T102" i="5"/>
  <c r="F398" i="35" s="1"/>
  <c r="R103" i="5"/>
  <c r="T103" i="5" s="1"/>
  <c r="F399" i="35" s="1"/>
  <c r="N96" i="5"/>
  <c r="D390" i="35" s="1"/>
  <c r="L97" i="5"/>
  <c r="N97" i="5" s="1"/>
  <c r="D391" i="35" s="1"/>
  <c r="F91" i="5"/>
  <c r="H91" i="5" s="1"/>
  <c r="B383" i="35" s="1"/>
  <c r="H90" i="5"/>
  <c r="B382" i="35" s="1"/>
  <c r="R91" i="5"/>
  <c r="T91" i="5" s="1"/>
  <c r="F383" i="35" s="1"/>
  <c r="T90" i="5"/>
  <c r="F382" i="35" s="1"/>
  <c r="O154" i="5"/>
  <c r="Q154" i="5" s="1"/>
  <c r="E238" i="35" s="1"/>
  <c r="Q153" i="5"/>
  <c r="E237" i="35" s="1"/>
  <c r="AI114" i="5"/>
  <c r="K228" i="35" s="1"/>
  <c r="AG115" i="5"/>
  <c r="AI115" i="5" s="1"/>
  <c r="K229" i="35" s="1"/>
  <c r="R109" i="5"/>
  <c r="T109" i="5" s="1"/>
  <c r="F407" i="35" s="1"/>
  <c r="T108" i="5"/>
  <c r="F406" i="35" s="1"/>
  <c r="AL147" i="5"/>
  <c r="L416" i="35" s="1"/>
  <c r="AJ148" i="5"/>
  <c r="AL148" i="5" s="1"/>
  <c r="L417" i="35" s="1"/>
  <c r="AA103" i="5"/>
  <c r="AC103" i="5" s="1"/>
  <c r="I399" i="35" s="1"/>
  <c r="AC102" i="5"/>
  <c r="I398" i="35" s="1"/>
  <c r="I148" i="5"/>
  <c r="K148" i="5" s="1"/>
  <c r="C417" i="35" s="1"/>
  <c r="K147" i="5"/>
  <c r="C416" i="35" s="1"/>
  <c r="AA109" i="5"/>
  <c r="AC109" i="5" s="1"/>
  <c r="I407" i="35" s="1"/>
  <c r="AC108" i="5"/>
  <c r="I406" i="35" s="1"/>
  <c r="AL102" i="5"/>
  <c r="L398" i="35" s="1"/>
  <c r="AJ103" i="5"/>
  <c r="AL103" i="5" s="1"/>
  <c r="L399" i="35" s="1"/>
  <c r="Z90" i="5"/>
  <c r="H382" i="35" s="1"/>
  <c r="X91" i="5"/>
  <c r="Z91" i="5" s="1"/>
  <c r="H383" i="35" s="1"/>
  <c r="N153" i="5"/>
  <c r="D237" i="35" s="1"/>
  <c r="L154" i="5"/>
  <c r="N154" i="5" s="1"/>
  <c r="D238" i="35" s="1"/>
  <c r="H102" i="5"/>
  <c r="B398" i="35" s="1"/>
  <c r="F103" i="5"/>
  <c r="H103" i="5" s="1"/>
  <c r="B399" i="35" s="1"/>
  <c r="AM91" i="5"/>
  <c r="AO91" i="5" s="1"/>
  <c r="M383" i="35" s="1"/>
  <c r="AO90" i="5"/>
  <c r="M382" i="35" s="1"/>
  <c r="AA79" i="5"/>
  <c r="AC79" i="5" s="1"/>
  <c r="I367" i="35" s="1"/>
  <c r="AC78" i="5"/>
  <c r="I366" i="35" s="1"/>
  <c r="AJ85" i="5"/>
  <c r="AL85" i="5" s="1"/>
  <c r="L375" i="35" s="1"/>
  <c r="AL84" i="5"/>
  <c r="L374" i="35" s="1"/>
  <c r="AF114" i="5"/>
  <c r="J228" i="35" s="1"/>
  <c r="AD115" i="5"/>
  <c r="AF115" i="5" s="1"/>
  <c r="J229" i="35" s="1"/>
  <c r="AM115" i="5"/>
  <c r="AO115" i="5" s="1"/>
  <c r="M229" i="35" s="1"/>
  <c r="AO114" i="5"/>
  <c r="M228" i="35" s="1"/>
  <c r="AO72" i="5"/>
  <c r="M358" i="35" s="1"/>
  <c r="AM73" i="5"/>
  <c r="AO73" i="5" s="1"/>
  <c r="M359" i="35" s="1"/>
  <c r="AC72" i="5"/>
  <c r="I358" i="35" s="1"/>
  <c r="AA73" i="5"/>
  <c r="AC73" i="5" s="1"/>
  <c r="I359" i="35" s="1"/>
  <c r="N90" i="5"/>
  <c r="D382" i="35" s="1"/>
  <c r="L91" i="5"/>
  <c r="N91" i="5" s="1"/>
  <c r="D383" i="35" s="1"/>
  <c r="T96" i="5"/>
  <c r="F390" i="35" s="1"/>
  <c r="R97" i="5"/>
  <c r="T97" i="5" s="1"/>
  <c r="F391" i="35" s="1"/>
  <c r="Q72" i="5"/>
  <c r="E358" i="35" s="1"/>
  <c r="O73" i="5"/>
  <c r="Q73" i="5" s="1"/>
  <c r="E359" i="35" s="1"/>
  <c r="Z102" i="5"/>
  <c r="H398" i="35" s="1"/>
  <c r="X103" i="5"/>
  <c r="Z103" i="5" s="1"/>
  <c r="H399" i="35" s="1"/>
  <c r="AF108" i="5"/>
  <c r="J406" i="35" s="1"/>
  <c r="AD109" i="5"/>
  <c r="AF109" i="5" s="1"/>
  <c r="J407" i="35" s="1"/>
  <c r="K78" i="5"/>
  <c r="C366" i="35" s="1"/>
  <c r="I79" i="5"/>
  <c r="K79" i="5" s="1"/>
  <c r="C367" i="35" s="1"/>
  <c r="AF78" i="5"/>
  <c r="J366" i="35" s="1"/>
  <c r="AD79" i="5"/>
  <c r="AF79" i="5" s="1"/>
  <c r="J367" i="35" s="1"/>
  <c r="X148" i="5"/>
  <c r="Z148" i="5" s="1"/>
  <c r="H417" i="35" s="1"/>
  <c r="Z147" i="5"/>
  <c r="H416" i="35" s="1"/>
  <c r="O103" i="5"/>
  <c r="Q103" i="5" s="1"/>
  <c r="E399" i="35" s="1"/>
  <c r="Q102" i="5"/>
  <c r="E398" i="35" s="1"/>
  <c r="AM67" i="5"/>
  <c r="AO67" i="5" s="1"/>
  <c r="M351" i="35" s="1"/>
  <c r="AO66" i="5"/>
  <c r="M350" i="35" s="1"/>
  <c r="AF84" i="5"/>
  <c r="J374" i="35" s="1"/>
  <c r="AD85" i="5"/>
  <c r="AF85" i="5" s="1"/>
  <c r="J375" i="35" s="1"/>
  <c r="L103" i="5"/>
  <c r="N103" i="5" s="1"/>
  <c r="D399" i="35" s="1"/>
  <c r="N102" i="5"/>
  <c r="D398" i="35" s="1"/>
  <c r="L85" i="5"/>
  <c r="N85" i="5" s="1"/>
  <c r="D375" i="35" s="1"/>
  <c r="N84" i="5"/>
  <c r="D374" i="35" s="1"/>
  <c r="AI102" i="5"/>
  <c r="K398" i="35" s="1"/>
  <c r="AG103" i="5"/>
  <c r="AI103" i="5" s="1"/>
  <c r="K399" i="35" s="1"/>
  <c r="K84" i="5"/>
  <c r="C374" i="35" s="1"/>
  <c r="I85" i="5"/>
  <c r="K85" i="5" s="1"/>
  <c r="C375" i="35" s="1"/>
  <c r="AJ115" i="5"/>
  <c r="AL115" i="5" s="1"/>
  <c r="L229" i="35" s="1"/>
  <c r="AL114" i="5"/>
  <c r="L228" i="35" s="1"/>
  <c r="AL153" i="5"/>
  <c r="L237" i="35" s="1"/>
  <c r="AJ154" i="5"/>
  <c r="AL154" i="5" s="1"/>
  <c r="L238" i="35" s="1"/>
  <c r="T153" i="5"/>
  <c r="F237" i="35" s="1"/>
  <c r="R154" i="5"/>
  <c r="T154" i="5" s="1"/>
  <c r="F238" i="35" s="1"/>
  <c r="T78" i="5"/>
  <c r="F366" i="35" s="1"/>
  <c r="R79" i="5"/>
  <c r="T79" i="5" s="1"/>
  <c r="F367" i="35" s="1"/>
  <c r="AD154" i="5"/>
  <c r="AF154" i="5" s="1"/>
  <c r="J238" i="35" s="1"/>
  <c r="AF153" i="5"/>
  <c r="J237" i="35" s="1"/>
  <c r="O97" i="5"/>
  <c r="Q97" i="5" s="1"/>
  <c r="E391" i="35" s="1"/>
  <c r="Q96" i="5"/>
  <c r="E390" i="35" s="1"/>
  <c r="AI66" i="5"/>
  <c r="K350" i="35" s="1"/>
  <c r="AG67" i="5"/>
  <c r="AI67" i="5" s="1"/>
  <c r="K351" i="35" s="1"/>
  <c r="R67" i="5"/>
  <c r="T67" i="5" s="1"/>
  <c r="F351" i="35" s="1"/>
  <c r="T66" i="5"/>
  <c r="F350" i="35" s="1"/>
  <c r="AC66" i="5"/>
  <c r="I350" i="35" s="1"/>
  <c r="AA67" i="5"/>
  <c r="AC67" i="5" s="1"/>
  <c r="I351" i="35" s="1"/>
  <c r="AD73" i="5"/>
  <c r="AF73" i="5" s="1"/>
  <c r="J359" i="35" s="1"/>
  <c r="AF72" i="5"/>
  <c r="J358" i="35" s="1"/>
  <c r="T114" i="5"/>
  <c r="F228" i="35" s="1"/>
  <c r="R115" i="5"/>
  <c r="T115" i="5" s="1"/>
  <c r="F229" i="35" s="1"/>
  <c r="AM103" i="5"/>
  <c r="AO103" i="5" s="1"/>
  <c r="M399" i="35" s="1"/>
  <c r="AO102" i="5"/>
  <c r="M398" i="35" s="1"/>
  <c r="W108" i="5"/>
  <c r="G406" i="35" s="1"/>
  <c r="U109" i="5"/>
  <c r="W109" i="5" s="1"/>
  <c r="G407" i="35" s="1"/>
  <c r="F97" i="5"/>
  <c r="H97" i="5" s="1"/>
  <c r="B391" i="35" s="1"/>
  <c r="H96" i="5"/>
  <c r="B390" i="35" s="1"/>
  <c r="W147" i="5"/>
  <c r="G416" i="35" s="1"/>
  <c r="U148" i="5"/>
  <c r="W148" i="5" s="1"/>
  <c r="G417" i="35" s="1"/>
  <c r="F109" i="5"/>
  <c r="H109" i="5" s="1"/>
  <c r="B407" i="35" s="1"/>
  <c r="H108" i="5"/>
  <c r="B406" i="35" s="1"/>
  <c r="X67" i="5"/>
  <c r="Z67" i="5" s="1"/>
  <c r="H351" i="35" s="1"/>
  <c r="Z66" i="5"/>
  <c r="H350" i="35" s="1"/>
  <c r="AJ67" i="5"/>
  <c r="AL67" i="5" s="1"/>
  <c r="L351" i="35" s="1"/>
  <c r="AL66" i="5"/>
  <c r="L350" i="35" s="1"/>
  <c r="AA97" i="5"/>
  <c r="AC97" i="5" s="1"/>
  <c r="I391" i="35" s="1"/>
  <c r="AC96" i="5"/>
  <c r="I390" i="35" s="1"/>
  <c r="AC147" i="5"/>
  <c r="I416" i="35" s="1"/>
  <c r="AA148" i="5"/>
  <c r="AC148" i="5" s="1"/>
  <c r="I417" i="35" s="1"/>
  <c r="W72" i="5"/>
  <c r="G358" i="35" s="1"/>
  <c r="U73" i="5"/>
  <c r="W73" i="5" s="1"/>
  <c r="G359" i="35" s="1"/>
  <c r="H78" i="5"/>
  <c r="B366" i="35" s="1"/>
  <c r="F79" i="5"/>
  <c r="H79" i="5" s="1"/>
  <c r="B367" i="35" s="1"/>
  <c r="T147" i="5"/>
  <c r="F416" i="35" s="1"/>
  <c r="R148" i="5"/>
  <c r="T148" i="5" s="1"/>
  <c r="F417" i="35" s="1"/>
  <c r="R85" i="5"/>
  <c r="T85" i="5" s="1"/>
  <c r="F375" i="35" s="1"/>
  <c r="T84" i="5"/>
  <c r="F374" i="35" s="1"/>
  <c r="AJ97" i="5"/>
  <c r="AL97" i="5" s="1"/>
  <c r="L391" i="35" s="1"/>
  <c r="AL96" i="5"/>
  <c r="L390" i="35" s="1"/>
  <c r="I91" i="5"/>
  <c r="K91" i="5" s="1"/>
  <c r="C383" i="35" s="1"/>
  <c r="K90" i="5"/>
  <c r="C382" i="35" s="1"/>
  <c r="K114" i="5"/>
  <c r="C228" i="35" s="1"/>
  <c r="I115" i="5"/>
  <c r="K115" i="5" s="1"/>
  <c r="C229" i="35" s="1"/>
  <c r="H72" i="5"/>
  <c r="B358" i="35" s="1"/>
  <c r="F73" i="5"/>
  <c r="H73" i="5" s="1"/>
  <c r="B359" i="35" s="1"/>
  <c r="AA91" i="5"/>
  <c r="AC91" i="5" s="1"/>
  <c r="I383" i="35" s="1"/>
  <c r="AC90" i="5"/>
  <c r="I382" i="35" s="1"/>
  <c r="W102" i="5"/>
  <c r="G398" i="35" s="1"/>
  <c r="U103" i="5"/>
  <c r="W103" i="5" s="1"/>
  <c r="G399" i="35" s="1"/>
  <c r="AO108" i="5"/>
  <c r="M406" i="35" s="1"/>
  <c r="AM109" i="5"/>
  <c r="AO109" i="5" s="1"/>
  <c r="M407" i="35" s="1"/>
  <c r="K153" i="5"/>
  <c r="C237" i="35" s="1"/>
  <c r="I154" i="5"/>
  <c r="K154" i="5" s="1"/>
  <c r="C238" i="35" s="1"/>
  <c r="AJ79" i="5"/>
  <c r="AL79" i="5" s="1"/>
  <c r="L367" i="35" s="1"/>
  <c r="AL78" i="5"/>
  <c r="L366" i="35" s="1"/>
  <c r="AG97" i="5"/>
  <c r="AI97" i="5" s="1"/>
  <c r="K391" i="35" s="1"/>
  <c r="AI96" i="5"/>
  <c r="K390" i="35" s="1"/>
  <c r="AO84" i="5"/>
  <c r="M374" i="35" s="1"/>
  <c r="AM85" i="5"/>
  <c r="AO85" i="5" s="1"/>
  <c r="M375" i="35" s="1"/>
  <c r="X79" i="5"/>
  <c r="Z79" i="5" s="1"/>
  <c r="H367" i="35" s="1"/>
  <c r="Z78" i="5"/>
  <c r="H366" i="35" s="1"/>
  <c r="Z114" i="5"/>
  <c r="H228" i="35" s="1"/>
  <c r="X115" i="5"/>
  <c r="Z115" i="5" s="1"/>
  <c r="H229" i="35" s="1"/>
  <c r="Z108" i="5"/>
  <c r="H406" i="35" s="1"/>
  <c r="X109" i="5"/>
  <c r="Z109" i="5" s="1"/>
  <c r="H407" i="35" s="1"/>
  <c r="Q108" i="5"/>
  <c r="E406" i="35" s="1"/>
  <c r="O109" i="5"/>
  <c r="Q109" i="5" s="1"/>
  <c r="E407" i="35" s="1"/>
  <c r="U154" i="5"/>
  <c r="W154" i="5" s="1"/>
  <c r="G238" i="35" s="1"/>
  <c r="W153" i="5"/>
  <c r="G237" i="35" s="1"/>
  <c r="AG79" i="5"/>
  <c r="AI79" i="5" s="1"/>
  <c r="K367" i="35" s="1"/>
  <c r="AI78" i="5"/>
  <c r="K366" i="35" s="1"/>
  <c r="Q84" i="5"/>
  <c r="E374" i="35" s="1"/>
  <c r="O85" i="5"/>
  <c r="Q85" i="5" s="1"/>
  <c r="E375" i="35" s="1"/>
  <c r="I73" i="5"/>
  <c r="K73" i="5" s="1"/>
  <c r="C359" i="35" s="1"/>
  <c r="K72" i="5"/>
  <c r="C358" i="35" s="1"/>
  <c r="AG109" i="5"/>
  <c r="AI109" i="5" s="1"/>
  <c r="K407" i="35" s="1"/>
  <c r="AI108" i="5"/>
  <c r="K406" i="35" s="1"/>
  <c r="AF96" i="5"/>
  <c r="J390" i="35" s="1"/>
  <c r="AD97" i="5"/>
  <c r="AF97" i="5" s="1"/>
  <c r="J391" i="35" s="1"/>
  <c r="AC84" i="5"/>
  <c r="I374" i="35" s="1"/>
  <c r="AA85" i="5"/>
  <c r="AC85" i="5" s="1"/>
  <c r="I375" i="35" s="1"/>
  <c r="N147" i="5"/>
  <c r="D416" i="35" s="1"/>
  <c r="L148" i="5"/>
  <c r="N148" i="5" s="1"/>
  <c r="D417" i="35" s="1"/>
  <c r="O67" i="5"/>
  <c r="Q67" i="5" s="1"/>
  <c r="E351" i="35" s="1"/>
  <c r="Q66" i="5"/>
  <c r="E350" i="35" s="1"/>
  <c r="L73" i="5"/>
  <c r="N73" i="5" s="1"/>
  <c r="D359" i="35" s="1"/>
  <c r="N72" i="5"/>
  <c r="D358" i="35" s="1"/>
  <c r="H114" i="5"/>
  <c r="B228" i="35" s="1"/>
  <c r="F115" i="5"/>
  <c r="H115" i="5" s="1"/>
  <c r="B229" i="35" s="1"/>
  <c r="AG85" i="5"/>
  <c r="AI85" i="5" s="1"/>
  <c r="K375" i="35" s="1"/>
  <c r="AI84" i="5"/>
  <c r="K374" i="35" s="1"/>
  <c r="AI36" i="5"/>
  <c r="K318" i="35" s="1"/>
  <c r="AG37" i="5"/>
  <c r="AI37" i="5" s="1"/>
  <c r="K319" i="35" s="1"/>
  <c r="AM43" i="5"/>
  <c r="AO43" i="5" s="1"/>
  <c r="M327" i="35" s="1"/>
  <c r="AO42" i="5"/>
  <c r="M326" i="35" s="1"/>
  <c r="AC18" i="5"/>
  <c r="I294" i="35" s="1"/>
  <c r="AA19" i="5"/>
  <c r="AC19" i="5" s="1"/>
  <c r="I295" i="35" s="1"/>
  <c r="Q30" i="5"/>
  <c r="E310" i="35" s="1"/>
  <c r="O31" i="5"/>
  <c r="Q31" i="5" s="1"/>
  <c r="E311" i="35" s="1"/>
  <c r="N6" i="5"/>
  <c r="D220" i="35" s="1"/>
  <c r="L7" i="5"/>
  <c r="N7" i="5" s="1"/>
  <c r="D221" i="35" s="1"/>
  <c r="AO24" i="5"/>
  <c r="M302" i="35" s="1"/>
  <c r="AM25" i="5"/>
  <c r="AO25" i="5" s="1"/>
  <c r="M303" i="35" s="1"/>
  <c r="AG43" i="5"/>
  <c r="AI43" i="5" s="1"/>
  <c r="K327" i="35" s="1"/>
  <c r="AI42" i="5"/>
  <c r="K326" i="35" s="1"/>
  <c r="AL30" i="5"/>
  <c r="L310" i="35" s="1"/>
  <c r="AJ31" i="5"/>
  <c r="AL31" i="5" s="1"/>
  <c r="L311" i="35" s="1"/>
  <c r="K6" i="5"/>
  <c r="C220" i="35" s="1"/>
  <c r="I7" i="5"/>
  <c r="K7" i="5" s="1"/>
  <c r="C221" i="35" s="1"/>
  <c r="AI54" i="5"/>
  <c r="K342" i="35" s="1"/>
  <c r="AG55" i="5"/>
  <c r="AI55" i="5" s="1"/>
  <c r="K343" i="35" s="1"/>
  <c r="AG49" i="5"/>
  <c r="AI49" i="5" s="1"/>
  <c r="K335" i="35" s="1"/>
  <c r="AI48" i="5"/>
  <c r="K334" i="35" s="1"/>
  <c r="L37" i="5"/>
  <c r="N37" i="5" s="1"/>
  <c r="D319" i="35" s="1"/>
  <c r="N36" i="5"/>
  <c r="D318" i="35" s="1"/>
  <c r="R55" i="5"/>
  <c r="T55" i="5" s="1"/>
  <c r="F343" i="35" s="1"/>
  <c r="T54" i="5"/>
  <c r="F342" i="35" s="1"/>
  <c r="T36" i="5"/>
  <c r="F318" i="35" s="1"/>
  <c r="R37" i="5"/>
  <c r="T37" i="5" s="1"/>
  <c r="F319" i="35" s="1"/>
  <c r="F55" i="5"/>
  <c r="H55" i="5" s="1"/>
  <c r="B343" i="35" s="1"/>
  <c r="H54" i="5"/>
  <c r="B342" i="35" s="1"/>
  <c r="N54" i="5"/>
  <c r="D342" i="35" s="1"/>
  <c r="L55" i="5"/>
  <c r="N55" i="5" s="1"/>
  <c r="D343" i="35" s="1"/>
  <c r="O61" i="5"/>
  <c r="Q61" i="5" s="1"/>
  <c r="Q60" i="5"/>
  <c r="O43" i="5"/>
  <c r="Q43" i="5" s="1"/>
  <c r="E327" i="35" s="1"/>
  <c r="Q42" i="5"/>
  <c r="E326" i="35" s="1"/>
  <c r="AJ37" i="5"/>
  <c r="AL37" i="5" s="1"/>
  <c r="L319" i="35" s="1"/>
  <c r="AL36" i="5"/>
  <c r="L318" i="35" s="1"/>
  <c r="Q54" i="5"/>
  <c r="E342" i="35" s="1"/>
  <c r="O55" i="5"/>
  <c r="Q55" i="5" s="1"/>
  <c r="E343" i="35" s="1"/>
  <c r="AD7" i="5"/>
  <c r="AF7" i="5" s="1"/>
  <c r="J221" i="35" s="1"/>
  <c r="AF6" i="5"/>
  <c r="J220" i="35" s="1"/>
  <c r="AD49" i="5"/>
  <c r="AF49" i="5" s="1"/>
  <c r="J335" i="35" s="1"/>
  <c r="AF48" i="5"/>
  <c r="J334" i="35" s="1"/>
  <c r="L19" i="5"/>
  <c r="N19" i="5" s="1"/>
  <c r="D295" i="35" s="1"/>
  <c r="N18" i="5"/>
  <c r="D294" i="35" s="1"/>
  <c r="T48" i="5"/>
  <c r="F334" i="35" s="1"/>
  <c r="R49" i="5"/>
  <c r="T49" i="5" s="1"/>
  <c r="F335" i="35" s="1"/>
  <c r="R43" i="5"/>
  <c r="T43" i="5" s="1"/>
  <c r="F327" i="35" s="1"/>
  <c r="T42" i="5"/>
  <c r="F326" i="35" s="1"/>
  <c r="N24" i="5"/>
  <c r="D302" i="35" s="1"/>
  <c r="L25" i="5"/>
  <c r="N25" i="5" s="1"/>
  <c r="D303" i="35" s="1"/>
  <c r="F43" i="5"/>
  <c r="H43" i="5" s="1"/>
  <c r="B327" i="35" s="1"/>
  <c r="H42" i="5"/>
  <c r="B326" i="35" s="1"/>
  <c r="F61" i="5"/>
  <c r="H61" i="5" s="1"/>
  <c r="H60" i="5"/>
  <c r="Z30" i="5"/>
  <c r="H310" i="35" s="1"/>
  <c r="X31" i="5"/>
  <c r="Z31" i="5" s="1"/>
  <c r="H311" i="35" s="1"/>
  <c r="Z12" i="5"/>
  <c r="H285" i="35" s="1"/>
  <c r="X13" i="5"/>
  <c r="Z13" i="5" s="1"/>
  <c r="H286" i="35" s="1"/>
  <c r="AJ19" i="5"/>
  <c r="AL19" i="5" s="1"/>
  <c r="L295" i="35" s="1"/>
  <c r="AL18" i="5"/>
  <c r="L294" i="35" s="1"/>
  <c r="Q24" i="5"/>
  <c r="E302" i="35" s="1"/>
  <c r="O25" i="5"/>
  <c r="Q25" i="5" s="1"/>
  <c r="E303" i="35" s="1"/>
  <c r="AM7" i="5"/>
  <c r="AO7" i="5" s="1"/>
  <c r="M221" i="35" s="1"/>
  <c r="AO6" i="5"/>
  <c r="M220" i="35" s="1"/>
  <c r="L31" i="5"/>
  <c r="N31" i="5" s="1"/>
  <c r="D311" i="35" s="1"/>
  <c r="N30" i="5"/>
  <c r="D310" i="35" s="1"/>
  <c r="H36" i="5"/>
  <c r="B318" i="35" s="1"/>
  <c r="F37" i="5"/>
  <c r="H37" i="5" s="1"/>
  <c r="B319" i="35" s="1"/>
  <c r="Q18" i="5"/>
  <c r="E294" i="35" s="1"/>
  <c r="O19" i="5"/>
  <c r="Q19" i="5" s="1"/>
  <c r="E295" i="35" s="1"/>
  <c r="K60" i="5"/>
  <c r="I61" i="5"/>
  <c r="K61" i="5" s="1"/>
  <c r="T60" i="5"/>
  <c r="R61" i="5"/>
  <c r="T61" i="5" s="1"/>
  <c r="K18" i="5"/>
  <c r="C294" i="35" s="1"/>
  <c r="I19" i="5"/>
  <c r="K19" i="5" s="1"/>
  <c r="C295" i="35" s="1"/>
  <c r="Z24" i="5"/>
  <c r="H302" i="35" s="1"/>
  <c r="X25" i="5"/>
  <c r="Z25" i="5" s="1"/>
  <c r="H303" i="35" s="1"/>
  <c r="AL42" i="5"/>
  <c r="L326" i="35" s="1"/>
  <c r="AJ43" i="5"/>
  <c r="AL43" i="5" s="1"/>
  <c r="L327" i="35" s="1"/>
  <c r="AF42" i="5"/>
  <c r="J326" i="35" s="1"/>
  <c r="AD43" i="5"/>
  <c r="AF43" i="5" s="1"/>
  <c r="J327" i="35" s="1"/>
  <c r="Z42" i="5"/>
  <c r="H326" i="35" s="1"/>
  <c r="X43" i="5"/>
  <c r="Z43" i="5" s="1"/>
  <c r="H327" i="35" s="1"/>
  <c r="H18" i="5"/>
  <c r="B294" i="35" s="1"/>
  <c r="F19" i="5"/>
  <c r="H19" i="5" s="1"/>
  <c r="B295" i="35" s="1"/>
  <c r="AJ25" i="5"/>
  <c r="AL25" i="5" s="1"/>
  <c r="L303" i="35" s="1"/>
  <c r="AL24" i="5"/>
  <c r="L302" i="35" s="1"/>
  <c r="AL6" i="5"/>
  <c r="L220" i="35" s="1"/>
  <c r="AJ7" i="5"/>
  <c r="AL7" i="5" s="1"/>
  <c r="L221" i="35" s="1"/>
  <c r="AM31" i="5"/>
  <c r="AO31" i="5" s="1"/>
  <c r="M311" i="35" s="1"/>
  <c r="AO30" i="5"/>
  <c r="M310" i="35" s="1"/>
  <c r="U43" i="5"/>
  <c r="W43" i="5" s="1"/>
  <c r="G327" i="35" s="1"/>
  <c r="W42" i="5"/>
  <c r="G326" i="35" s="1"/>
  <c r="X55" i="5"/>
  <c r="Z55" i="5" s="1"/>
  <c r="H343" i="35" s="1"/>
  <c r="Z54" i="5"/>
  <c r="H342" i="35" s="1"/>
  <c r="AC12" i="5"/>
  <c r="I285" i="35" s="1"/>
  <c r="AA13" i="5"/>
  <c r="AC13" i="5" s="1"/>
  <c r="I286" i="35" s="1"/>
  <c r="AI18" i="5"/>
  <c r="K294" i="35" s="1"/>
  <c r="AG19" i="5"/>
  <c r="AI19" i="5" s="1"/>
  <c r="K295" i="35" s="1"/>
  <c r="F25" i="5"/>
  <c r="H25" i="5" s="1"/>
  <c r="B303" i="35" s="1"/>
  <c r="H24" i="5"/>
  <c r="B302" i="35" s="1"/>
  <c r="AM37" i="5"/>
  <c r="AO37" i="5" s="1"/>
  <c r="M319" i="35" s="1"/>
  <c r="AO36" i="5"/>
  <c r="M318" i="35" s="1"/>
  <c r="AL12" i="5"/>
  <c r="L285" i="35" s="1"/>
  <c r="AJ13" i="5"/>
  <c r="AL13" i="5" s="1"/>
  <c r="L286" i="35" s="1"/>
  <c r="N60" i="5"/>
  <c r="L61" i="5"/>
  <c r="N61" i="5" s="1"/>
  <c r="AI6" i="5"/>
  <c r="K220" i="35" s="1"/>
  <c r="AG7" i="5"/>
  <c r="AI7" i="5" s="1"/>
  <c r="K221" i="35" s="1"/>
  <c r="W36" i="5"/>
  <c r="G318" i="35" s="1"/>
  <c r="U37" i="5"/>
  <c r="W37" i="5" s="1"/>
  <c r="G319" i="35" s="1"/>
  <c r="T30" i="5"/>
  <c r="F310" i="35" s="1"/>
  <c r="R31" i="5"/>
  <c r="T31" i="5" s="1"/>
  <c r="F311" i="35" s="1"/>
  <c r="H6" i="5"/>
  <c r="B220" i="35" s="1"/>
  <c r="F7" i="5"/>
  <c r="H7" i="5" s="1"/>
  <c r="B221" i="35" s="1"/>
  <c r="U7" i="5"/>
  <c r="W7" i="5" s="1"/>
  <c r="G221" i="35" s="1"/>
  <c r="W6" i="5"/>
  <c r="G220" i="35" s="1"/>
  <c r="AD19" i="5"/>
  <c r="AF19" i="5" s="1"/>
  <c r="J295" i="35" s="1"/>
  <c r="AF18" i="5"/>
  <c r="J294" i="35" s="1"/>
  <c r="AG61" i="5"/>
  <c r="AI61" i="5" s="1"/>
  <c r="AI60" i="5"/>
  <c r="U61" i="5"/>
  <c r="W61" i="5" s="1"/>
  <c r="W60" i="5"/>
  <c r="O13" i="5"/>
  <c r="Q13" i="5" s="1"/>
  <c r="E286" i="35" s="1"/>
  <c r="Q12" i="5"/>
  <c r="E285" i="35" s="1"/>
  <c r="H12" i="5"/>
  <c r="B285" i="35" s="1"/>
  <c r="F13" i="5"/>
  <c r="H13" i="5" s="1"/>
  <c r="B286" i="35" s="1"/>
  <c r="X37" i="5"/>
  <c r="Z37" i="5" s="1"/>
  <c r="H319" i="35" s="1"/>
  <c r="Z36" i="5"/>
  <c r="H318" i="35" s="1"/>
  <c r="I43" i="5"/>
  <c r="K43" i="5" s="1"/>
  <c r="C327" i="35" s="1"/>
  <c r="K42" i="5"/>
  <c r="C326" i="35" s="1"/>
  <c r="K36" i="5"/>
  <c r="C318" i="35" s="1"/>
  <c r="I37" i="5"/>
  <c r="K37" i="5" s="1"/>
  <c r="C319" i="35" s="1"/>
  <c r="H30" i="5"/>
  <c r="B310" i="35" s="1"/>
  <c r="F31" i="5"/>
  <c r="H31" i="5" s="1"/>
  <c r="B311" i="35" s="1"/>
  <c r="AD55" i="5"/>
  <c r="AF55" i="5" s="1"/>
  <c r="J343" i="35" s="1"/>
  <c r="AF54" i="5"/>
  <c r="J342" i="35" s="1"/>
  <c r="AA43" i="5"/>
  <c r="AC43" i="5" s="1"/>
  <c r="I327" i="35" s="1"/>
  <c r="AC42" i="5"/>
  <c r="I326" i="35" s="1"/>
  <c r="AA37" i="5"/>
  <c r="AC37" i="5" s="1"/>
  <c r="I319" i="35" s="1"/>
  <c r="AC36" i="5"/>
  <c r="I318" i="35" s="1"/>
  <c r="Q36" i="5"/>
  <c r="E318" i="35" s="1"/>
  <c r="O37" i="5"/>
  <c r="Q37" i="5" s="1"/>
  <c r="E319" i="35" s="1"/>
  <c r="AC54" i="5"/>
  <c r="I342" i="35" s="1"/>
  <c r="AA55" i="5"/>
  <c r="AC55" i="5" s="1"/>
  <c r="I343" i="35" s="1"/>
  <c r="I13" i="5"/>
  <c r="K13" i="5" s="1"/>
  <c r="C286" i="35" s="1"/>
  <c r="K12" i="5"/>
  <c r="C285" i="35" s="1"/>
  <c r="AL54" i="5"/>
  <c r="L342" i="35" s="1"/>
  <c r="AJ55" i="5"/>
  <c r="AL55" i="5" s="1"/>
  <c r="L343" i="35" s="1"/>
  <c r="Z6" i="5"/>
  <c r="H220" i="35" s="1"/>
  <c r="X7" i="5"/>
  <c r="Z7" i="5" s="1"/>
  <c r="H221" i="35" s="1"/>
  <c r="K48" i="5"/>
  <c r="C334" i="35" s="1"/>
  <c r="I49" i="5"/>
  <c r="K49" i="5" s="1"/>
  <c r="C335" i="35" s="1"/>
  <c r="N12" i="5"/>
  <c r="D285" i="35" s="1"/>
  <c r="L13" i="5"/>
  <c r="N13" i="5" s="1"/>
  <c r="D286" i="35" s="1"/>
  <c r="X19" i="5"/>
  <c r="Z19" i="5" s="1"/>
  <c r="H295" i="35" s="1"/>
  <c r="Z18" i="5"/>
  <c r="H294" i="35" s="1"/>
  <c r="AF60" i="5"/>
  <c r="AD61" i="5"/>
  <c r="AF61" i="5" s="1"/>
  <c r="F49" i="5"/>
  <c r="H49" i="5" s="1"/>
  <c r="B335" i="35" s="1"/>
  <c r="H48" i="5"/>
  <c r="B334" i="35" s="1"/>
  <c r="AA49" i="5"/>
  <c r="AC49" i="5" s="1"/>
  <c r="I335" i="35" s="1"/>
  <c r="AC48" i="5"/>
  <c r="I334" i="35" s="1"/>
  <c r="AL60" i="5"/>
  <c r="AJ61" i="5"/>
  <c r="AL61" i="5" s="1"/>
  <c r="R7" i="5"/>
  <c r="T7" i="5" s="1"/>
  <c r="F221" i="35" s="1"/>
  <c r="T6" i="5"/>
  <c r="F220" i="35" s="1"/>
  <c r="I25" i="5"/>
  <c r="K25" i="5" s="1"/>
  <c r="C303" i="35" s="1"/>
  <c r="K24" i="5"/>
  <c r="C302" i="35" s="1"/>
  <c r="W18" i="5"/>
  <c r="G294" i="35" s="1"/>
  <c r="U19" i="5"/>
  <c r="W19" i="5" s="1"/>
  <c r="G295" i="35" s="1"/>
  <c r="AO60" i="5"/>
  <c r="AM61" i="5"/>
  <c r="AO61" i="5" s="1"/>
  <c r="AL48" i="5"/>
  <c r="L334" i="35" s="1"/>
  <c r="AJ49" i="5"/>
  <c r="AL49" i="5" s="1"/>
  <c r="L335" i="35" s="1"/>
  <c r="N48" i="5"/>
  <c r="D334" i="35" s="1"/>
  <c r="L49" i="5"/>
  <c r="N49" i="5" s="1"/>
  <c r="D335" i="35" s="1"/>
  <c r="AG13" i="5"/>
  <c r="AI13" i="5" s="1"/>
  <c r="K286" i="35" s="1"/>
  <c r="AI12" i="5"/>
  <c r="K285" i="35" s="1"/>
  <c r="W24" i="5"/>
  <c r="G302" i="35" s="1"/>
  <c r="U25" i="5"/>
  <c r="W25" i="5" s="1"/>
  <c r="G303" i="35" s="1"/>
  <c r="AM49" i="5"/>
  <c r="AO49" i="5" s="1"/>
  <c r="M335" i="35" s="1"/>
  <c r="AO48" i="5"/>
  <c r="M334" i="35" s="1"/>
  <c r="AC60" i="5"/>
  <c r="AA61" i="5"/>
  <c r="AC61" i="5" s="1"/>
  <c r="AC24" i="5"/>
  <c r="I302" i="35" s="1"/>
  <c r="AA25" i="5"/>
  <c r="AC25" i="5" s="1"/>
  <c r="I303" i="35" s="1"/>
  <c r="T12" i="5"/>
  <c r="F285" i="35" s="1"/>
  <c r="R13" i="5"/>
  <c r="T13" i="5" s="1"/>
  <c r="F286" i="35" s="1"/>
  <c r="U31" i="5"/>
  <c r="W31" i="5" s="1"/>
  <c r="G311" i="35" s="1"/>
  <c r="W30" i="5"/>
  <c r="G310" i="35" s="1"/>
  <c r="Z60" i="5"/>
  <c r="X61" i="5"/>
  <c r="Z61" i="5" s="1"/>
  <c r="AA7" i="5"/>
  <c r="AC7" i="5" s="1"/>
  <c r="I221" i="35" s="1"/>
  <c r="AC6" i="5"/>
  <c r="I220" i="35" s="1"/>
  <c r="O7" i="5"/>
  <c r="Q7" i="5" s="1"/>
  <c r="E221" i="35" s="1"/>
  <c r="Q6" i="5"/>
  <c r="E220" i="35" s="1"/>
  <c r="AG25" i="5"/>
  <c r="AI25" i="5" s="1"/>
  <c r="K303" i="35" s="1"/>
  <c r="AI24" i="5"/>
  <c r="K302" i="35" s="1"/>
  <c r="U49" i="5"/>
  <c r="W49" i="5" s="1"/>
  <c r="G335" i="35" s="1"/>
  <c r="W48" i="5"/>
  <c r="G334" i="35" s="1"/>
  <c r="R19" i="5"/>
  <c r="T19" i="5" s="1"/>
  <c r="F295" i="35" s="1"/>
  <c r="T18" i="5"/>
  <c r="F294" i="35" s="1"/>
  <c r="X49" i="5"/>
  <c r="Z49" i="5" s="1"/>
  <c r="H335" i="35" s="1"/>
  <c r="Z48" i="5"/>
  <c r="H334" i="35" s="1"/>
  <c r="L43" i="5"/>
  <c r="N43" i="5" s="1"/>
  <c r="D327" i="35" s="1"/>
  <c r="N42" i="5"/>
  <c r="D326" i="35" s="1"/>
  <c r="AC30" i="5"/>
  <c r="I310" i="35" s="1"/>
  <c r="AA31" i="5"/>
  <c r="AC31" i="5" s="1"/>
  <c r="I311" i="35" s="1"/>
  <c r="AM13" i="5"/>
  <c r="AO13" i="5" s="1"/>
  <c r="M286" i="35" s="1"/>
  <c r="AO12" i="5"/>
  <c r="M285" i="35" s="1"/>
  <c r="Q48" i="5"/>
  <c r="E334" i="35" s="1"/>
  <c r="O49" i="5"/>
  <c r="Q49" i="5" s="1"/>
  <c r="E335" i="35" s="1"/>
  <c r="W12" i="5"/>
  <c r="G285" i="35" s="1"/>
  <c r="U13" i="5"/>
  <c r="W13" i="5" s="1"/>
  <c r="G286" i="35" s="1"/>
  <c r="AM55" i="5"/>
  <c r="AO55" i="5" s="1"/>
  <c r="M343" i="35" s="1"/>
  <c r="AO54" i="5"/>
  <c r="M342" i="35" s="1"/>
  <c r="K54" i="5"/>
  <c r="C342" i="35" s="1"/>
  <c r="I55" i="5"/>
  <c r="K55" i="5" s="1"/>
  <c r="C343" i="35" s="1"/>
  <c r="AG31" i="5"/>
  <c r="AI31" i="5" s="1"/>
  <c r="K311" i="35" s="1"/>
  <c r="AI30" i="5"/>
  <c r="K310" i="35" s="1"/>
  <c r="U55" i="5"/>
  <c r="W55" i="5" s="1"/>
  <c r="G343" i="35" s="1"/>
  <c r="W54" i="5"/>
  <c r="G342" i="35" s="1"/>
  <c r="K243" i="35"/>
  <c r="G243" i="35"/>
  <c r="C243" i="35"/>
  <c r="J243" i="35"/>
  <c r="F243" i="35"/>
  <c r="B243" i="35"/>
  <c r="M243" i="35"/>
  <c r="I243" i="35"/>
  <c r="E243" i="35"/>
  <c r="L243" i="35"/>
  <c r="H243" i="35"/>
  <c r="D243" i="35"/>
  <c r="O235" i="35"/>
  <c r="O372" i="35"/>
  <c r="O404" i="35"/>
  <c r="O414" i="35"/>
  <c r="O348" i="35"/>
  <c r="O364" i="35"/>
  <c r="O363" i="35"/>
  <c r="O380" i="35"/>
  <c r="O396" i="35"/>
  <c r="O395" i="35"/>
  <c r="O226" i="35"/>
  <c r="O349" i="35"/>
  <c r="O381" i="35"/>
  <c r="O227" i="35"/>
  <c r="O371" i="35"/>
  <c r="O403" i="35"/>
  <c r="O355" i="35"/>
  <c r="O365" i="35"/>
  <c r="O387" i="35"/>
  <c r="O397" i="35"/>
  <c r="O413" i="35"/>
  <c r="O347" i="35"/>
  <c r="O356" i="35"/>
  <c r="O379" i="35"/>
  <c r="O388" i="35"/>
  <c r="O225" i="35"/>
  <c r="K253" i="35" l="1"/>
  <c r="K269" i="35"/>
  <c r="K270" i="35"/>
  <c r="L251" i="35"/>
  <c r="L253" i="35" s="1"/>
  <c r="L252" i="35"/>
  <c r="L249" i="35"/>
  <c r="L250" i="35"/>
  <c r="L266" i="35"/>
  <c r="L258" i="35"/>
  <c r="L265" i="35"/>
  <c r="L257" i="35"/>
  <c r="M264" i="35"/>
  <c r="N240" i="35"/>
  <c r="M256" i="35"/>
  <c r="M248" i="35"/>
  <c r="M280" i="35"/>
  <c r="M289" i="35"/>
  <c r="M274" i="35"/>
  <c r="L259" i="35"/>
  <c r="L260" i="35"/>
  <c r="L262" i="35" s="1"/>
  <c r="L268" i="35"/>
  <c r="L270" i="35" s="1"/>
  <c r="L267" i="35"/>
  <c r="K262" i="35"/>
  <c r="K254" i="35"/>
  <c r="O234" i="35"/>
  <c r="O236" i="35"/>
  <c r="O373" i="35"/>
  <c r="O276" i="35"/>
  <c r="O277" i="35"/>
  <c r="O389" i="35"/>
  <c r="O357" i="35"/>
  <c r="O237" i="35"/>
  <c r="O238" i="35"/>
  <c r="O382" i="35"/>
  <c r="O383" i="35"/>
  <c r="O415" i="35"/>
  <c r="O399" i="35"/>
  <c r="O398" i="35"/>
  <c r="O367" i="35"/>
  <c r="O366" i="35"/>
  <c r="O405" i="35"/>
  <c r="O228" i="35"/>
  <c r="O229" i="35"/>
  <c r="O350" i="35"/>
  <c r="O351" i="35"/>
  <c r="M259" i="35" l="1"/>
  <c r="M260" i="35"/>
  <c r="M262" i="35" s="1"/>
  <c r="L269" i="35"/>
  <c r="M250" i="35"/>
  <c r="M251" i="35"/>
  <c r="M253" i="35" s="1"/>
  <c r="M252" i="35"/>
  <c r="M254" i="35" s="1"/>
  <c r="M249" i="35"/>
  <c r="M257" i="35"/>
  <c r="M266" i="35"/>
  <c r="M258" i="35"/>
  <c r="M265" i="35"/>
  <c r="N248" i="35"/>
  <c r="O240" i="35"/>
  <c r="N256" i="35"/>
  <c r="N280" i="35"/>
  <c r="N289" i="35"/>
  <c r="N274" i="35"/>
  <c r="N243" i="35"/>
  <c r="M267" i="35"/>
  <c r="M268" i="35"/>
  <c r="M270" i="35" s="1"/>
  <c r="L254" i="35"/>
  <c r="L261" i="35"/>
  <c r="O407" i="35"/>
  <c r="O406" i="35"/>
  <c r="O375" i="35"/>
  <c r="O374" i="35"/>
  <c r="O358" i="35"/>
  <c r="O359" i="35"/>
  <c r="O390" i="35"/>
  <c r="O391" i="35"/>
  <c r="O417" i="35"/>
  <c r="O416" i="35"/>
  <c r="N259" i="35" l="1"/>
  <c r="N261" i="35" s="1"/>
  <c r="N260" i="35"/>
  <c r="O248" i="35"/>
  <c r="O256" i="35"/>
  <c r="O377" i="35"/>
  <c r="O215" i="35"/>
  <c r="O280" i="35"/>
  <c r="O385" i="35"/>
  <c r="O329" i="35"/>
  <c r="O321" i="35"/>
  <c r="O274" i="35"/>
  <c r="O393" i="35"/>
  <c r="O337" i="35"/>
  <c r="O313" i="35"/>
  <c r="O232" i="35"/>
  <c r="O223" i="35"/>
  <c r="O401" i="35"/>
  <c r="O411" i="35"/>
  <c r="O345" i="35"/>
  <c r="O369" i="35"/>
  <c r="O289" i="35"/>
  <c r="O361" i="35"/>
  <c r="O305" i="35"/>
  <c r="O297" i="35"/>
  <c r="O353" i="35"/>
  <c r="O244" i="35"/>
  <c r="O243" i="35"/>
  <c r="N266" i="35"/>
  <c r="N270" i="35" s="1"/>
  <c r="N258" i="35"/>
  <c r="N257" i="35"/>
  <c r="N252" i="35"/>
  <c r="N251" i="35"/>
  <c r="N265" i="35"/>
  <c r="N269" i="35" s="1"/>
  <c r="N249" i="35"/>
  <c r="N250" i="35"/>
  <c r="M269" i="35"/>
  <c r="M261" i="35"/>
  <c r="N244" i="35"/>
  <c r="M244" i="35"/>
  <c r="L244" i="35"/>
  <c r="N223" i="35"/>
  <c r="N232" i="35"/>
  <c r="N253" i="35" l="1"/>
  <c r="O260" i="35"/>
  <c r="O259" i="35"/>
  <c r="O261" i="35" s="1"/>
  <c r="N254" i="35"/>
  <c r="O257" i="35"/>
  <c r="O266" i="35"/>
  <c r="O270" i="35" s="1"/>
  <c r="O252" i="35"/>
  <c r="O265" i="35"/>
  <c r="O269" i="35" s="1"/>
  <c r="O251" i="35"/>
  <c r="O258" i="35"/>
  <c r="O249" i="35"/>
  <c r="O250" i="35"/>
  <c r="N262" i="35"/>
  <c r="N363" i="35"/>
  <c r="N372" i="35"/>
  <c r="N404" i="35"/>
  <c r="N371" i="35"/>
  <c r="N374" i="35"/>
  <c r="N364" i="35"/>
  <c r="N226" i="35"/>
  <c r="N414" i="35"/>
  <c r="N235" i="35"/>
  <c r="N348" i="35"/>
  <c r="N380" i="35"/>
  <c r="N347" i="35"/>
  <c r="N381" i="35"/>
  <c r="N387" i="35"/>
  <c r="N403" i="35"/>
  <c r="N356" i="35"/>
  <c r="N227" i="35"/>
  <c r="N413" i="35"/>
  <c r="N395" i="35"/>
  <c r="N236" i="35"/>
  <c r="N396" i="35"/>
  <c r="N379" i="35"/>
  <c r="N388" i="35"/>
  <c r="N225" i="35"/>
  <c r="N234" i="35"/>
  <c r="O254" i="35" l="1"/>
  <c r="O253" i="35"/>
  <c r="O262" i="35"/>
  <c r="N276" i="35"/>
  <c r="N375" i="35"/>
  <c r="N277" i="35"/>
  <c r="N373" i="35"/>
  <c r="N397" i="35"/>
  <c r="N415" i="35"/>
  <c r="N405" i="35"/>
  <c r="N389" i="35"/>
  <c r="N228" i="35"/>
  <c r="N355" i="35"/>
  <c r="N349" i="35"/>
  <c r="N237" i="35"/>
  <c r="N365" i="35"/>
  <c r="N382" i="35"/>
  <c r="N350" i="35" l="1"/>
  <c r="N357" i="35"/>
  <c r="N390" i="35"/>
  <c r="N406" i="35"/>
  <c r="N383" i="35"/>
  <c r="N366" i="35"/>
  <c r="N238" i="35"/>
  <c r="N416" i="35"/>
  <c r="N398" i="35"/>
  <c r="N229" i="35"/>
  <c r="N407" i="35" l="1"/>
  <c r="N351" i="35"/>
  <c r="N417" i="35"/>
  <c r="N367" i="35"/>
  <c r="N399" i="35"/>
  <c r="N391" i="35"/>
  <c r="N358" i="35"/>
  <c r="N359" i="35" l="1"/>
  <c r="O217" i="35" l="1"/>
  <c r="N308" i="35"/>
  <c r="O241" i="35"/>
  <c r="O245" i="35" s="1"/>
  <c r="B241" i="35"/>
  <c r="B245" i="35" s="1"/>
  <c r="O242" i="35"/>
  <c r="O246" i="35" s="1"/>
  <c r="B242" i="35"/>
  <c r="N241" i="35"/>
  <c r="N245" i="35" s="1"/>
  <c r="L241" i="35"/>
  <c r="L245" i="35" s="1"/>
  <c r="M241" i="35"/>
  <c r="M245" i="35" s="1"/>
  <c r="M242" i="35"/>
  <c r="M246" i="35" s="1"/>
  <c r="N242" i="35"/>
  <c r="N246" i="35" s="1"/>
  <c r="L242" i="35"/>
  <c r="L246" i="35" s="1"/>
  <c r="C232" i="35"/>
  <c r="M223" i="35"/>
  <c r="L223" i="35"/>
  <c r="K223" i="35"/>
  <c r="J223" i="35"/>
  <c r="I223" i="35"/>
  <c r="H223" i="35"/>
  <c r="G223" i="35"/>
  <c r="F223" i="35"/>
  <c r="E223" i="35"/>
  <c r="D223" i="35"/>
  <c r="C223" i="35"/>
  <c r="B223" i="35"/>
  <c r="M215" i="35"/>
  <c r="L215" i="35"/>
  <c r="K215" i="35"/>
  <c r="J215" i="35"/>
  <c r="I215" i="35"/>
  <c r="H215" i="35"/>
  <c r="F215" i="35"/>
  <c r="E215" i="35"/>
  <c r="C215" i="35"/>
  <c r="D215" i="35"/>
  <c r="B215" i="35"/>
  <c r="G215" i="35"/>
  <c r="Y52" i="35"/>
  <c r="Y53" i="35"/>
  <c r="Y54" i="35"/>
  <c r="Y56" i="35"/>
  <c r="Y57" i="35"/>
  <c r="Y58" i="35"/>
  <c r="Y59" i="35"/>
  <c r="N217" i="35" l="1"/>
  <c r="N316" i="35"/>
  <c r="N282" i="35"/>
  <c r="O324" i="35"/>
  <c r="O340" i="35"/>
  <c r="N300" i="35"/>
  <c r="O316" i="35"/>
  <c r="O332" i="35"/>
  <c r="O308" i="35"/>
  <c r="O218" i="35"/>
  <c r="N324" i="35"/>
  <c r="N292" i="35"/>
  <c r="N340" i="35"/>
  <c r="O282" i="35"/>
  <c r="O292" i="35"/>
  <c r="N332" i="35"/>
  <c r="N307" i="35"/>
  <c r="O300" i="35"/>
  <c r="F241" i="35"/>
  <c r="F245" i="35" s="1"/>
  <c r="J241" i="35"/>
  <c r="J245" i="35" s="1"/>
  <c r="D241" i="35"/>
  <c r="D245" i="35" s="1"/>
  <c r="E241" i="35"/>
  <c r="E245" i="35" s="1"/>
  <c r="I241" i="35"/>
  <c r="I245" i="35" s="1"/>
  <c r="C241" i="35"/>
  <c r="C245" i="35" s="1"/>
  <c r="G241" i="35"/>
  <c r="G245" i="35" s="1"/>
  <c r="K241" i="35"/>
  <c r="K245" i="35" s="1"/>
  <c r="H241" i="35"/>
  <c r="H245" i="35" s="1"/>
  <c r="D242" i="35"/>
  <c r="H242" i="35"/>
  <c r="I242" i="35"/>
  <c r="F242" i="35"/>
  <c r="G242" i="35"/>
  <c r="E242" i="35"/>
  <c r="J242" i="35"/>
  <c r="C242" i="35"/>
  <c r="K242" i="35"/>
  <c r="D244" i="35"/>
  <c r="E244" i="35"/>
  <c r="I244" i="35"/>
  <c r="C244" i="35"/>
  <c r="H244" i="35"/>
  <c r="B244" i="35"/>
  <c r="B246" i="35" s="1"/>
  <c r="F244" i="35"/>
  <c r="J244" i="35"/>
  <c r="G244" i="35"/>
  <c r="K244" i="35"/>
  <c r="C411" i="35"/>
  <c r="D411" i="35"/>
  <c r="E411" i="35"/>
  <c r="F411" i="35"/>
  <c r="G411" i="35"/>
  <c r="H411" i="35"/>
  <c r="I411" i="35"/>
  <c r="J411" i="35"/>
  <c r="K411" i="35"/>
  <c r="L411" i="35"/>
  <c r="M411" i="35"/>
  <c r="H246" i="35" l="1"/>
  <c r="F246" i="35"/>
  <c r="D246" i="35"/>
  <c r="E246" i="35"/>
  <c r="G246" i="35"/>
  <c r="K246" i="35"/>
  <c r="J246" i="35"/>
  <c r="C246" i="35"/>
  <c r="I246" i="35"/>
  <c r="N331" i="35"/>
  <c r="N291" i="35"/>
  <c r="O219" i="35"/>
  <c r="N299" i="35"/>
  <c r="N315" i="35"/>
  <c r="O299" i="35"/>
  <c r="N339" i="35"/>
  <c r="O331" i="35"/>
  <c r="O323" i="35"/>
  <c r="O291" i="35"/>
  <c r="O307" i="35"/>
  <c r="N309" i="35"/>
  <c r="O283" i="35"/>
  <c r="N323" i="35"/>
  <c r="O315" i="35"/>
  <c r="O339" i="35"/>
  <c r="N283" i="35"/>
  <c r="N218" i="35"/>
  <c r="N284" i="35" l="1"/>
  <c r="N317" i="35"/>
  <c r="N333" i="35"/>
  <c r="O293" i="35"/>
  <c r="O341" i="35"/>
  <c r="O284" i="35"/>
  <c r="N311" i="35"/>
  <c r="N310" i="35"/>
  <c r="O221" i="35"/>
  <c r="O220" i="35"/>
  <c r="O317" i="35"/>
  <c r="O333" i="35"/>
  <c r="N219" i="35"/>
  <c r="N325" i="35"/>
  <c r="O309" i="35"/>
  <c r="O325" i="35"/>
  <c r="N341" i="35"/>
  <c r="O301" i="35"/>
  <c r="N301" i="35"/>
  <c r="N293" i="35"/>
  <c r="G401" i="35"/>
  <c r="H401" i="35"/>
  <c r="I401" i="35"/>
  <c r="J401" i="35"/>
  <c r="K401" i="35"/>
  <c r="L401" i="35"/>
  <c r="M401" i="35"/>
  <c r="G393" i="35"/>
  <c r="H393" i="35"/>
  <c r="I393" i="35"/>
  <c r="J393" i="35"/>
  <c r="K393" i="35"/>
  <c r="L393" i="35"/>
  <c r="M393" i="35"/>
  <c r="G385" i="35"/>
  <c r="H385" i="35"/>
  <c r="I385" i="35"/>
  <c r="J385" i="35"/>
  <c r="K385" i="35"/>
  <c r="L385" i="35"/>
  <c r="M385" i="35"/>
  <c r="G377" i="35"/>
  <c r="H377" i="35"/>
  <c r="I377" i="35"/>
  <c r="J377" i="35"/>
  <c r="K377" i="35"/>
  <c r="L377" i="35"/>
  <c r="M377" i="35"/>
  <c r="G369" i="35"/>
  <c r="H369" i="35"/>
  <c r="I369" i="35"/>
  <c r="J369" i="35"/>
  <c r="K369" i="35"/>
  <c r="L369" i="35"/>
  <c r="M369" i="35"/>
  <c r="G361" i="35"/>
  <c r="H361" i="35"/>
  <c r="I361" i="35"/>
  <c r="J361" i="35"/>
  <c r="K361" i="35"/>
  <c r="L361" i="35"/>
  <c r="M361" i="35"/>
  <c r="G353" i="35"/>
  <c r="H353" i="35"/>
  <c r="I353" i="35"/>
  <c r="J353" i="35"/>
  <c r="K353" i="35"/>
  <c r="L353" i="35"/>
  <c r="M353" i="35"/>
  <c r="G345" i="35"/>
  <c r="H345" i="35"/>
  <c r="I345" i="35"/>
  <c r="J345" i="35"/>
  <c r="K345" i="35"/>
  <c r="L345" i="35"/>
  <c r="M345" i="35"/>
  <c r="G337" i="35"/>
  <c r="H337" i="35"/>
  <c r="I337" i="35"/>
  <c r="J337" i="35"/>
  <c r="K337" i="35"/>
  <c r="L337" i="35"/>
  <c r="M337" i="35"/>
  <c r="G329" i="35"/>
  <c r="H329" i="35"/>
  <c r="I329" i="35"/>
  <c r="J329" i="35"/>
  <c r="K329" i="35"/>
  <c r="L329" i="35"/>
  <c r="M329" i="35"/>
  <c r="G321" i="35"/>
  <c r="H321" i="35"/>
  <c r="I321" i="35"/>
  <c r="J321" i="35"/>
  <c r="K321" i="35"/>
  <c r="L321" i="35"/>
  <c r="M321" i="35"/>
  <c r="G313" i="35"/>
  <c r="H313" i="35"/>
  <c r="I313" i="35"/>
  <c r="J313" i="35"/>
  <c r="K313" i="35"/>
  <c r="L313" i="35"/>
  <c r="M313" i="35"/>
  <c r="G305" i="35"/>
  <c r="H305" i="35"/>
  <c r="I305" i="35"/>
  <c r="J305" i="35"/>
  <c r="K305" i="35"/>
  <c r="L305" i="35"/>
  <c r="M305" i="35"/>
  <c r="G297" i="35"/>
  <c r="H297" i="35"/>
  <c r="I297" i="35"/>
  <c r="J297" i="35"/>
  <c r="K297" i="35"/>
  <c r="L297" i="35"/>
  <c r="M297" i="35"/>
  <c r="G232" i="35"/>
  <c r="H232" i="35"/>
  <c r="I232" i="35"/>
  <c r="J232" i="35"/>
  <c r="K232" i="35"/>
  <c r="L232" i="35"/>
  <c r="M232" i="35"/>
  <c r="N295" i="35" l="1"/>
  <c r="N294" i="35"/>
  <c r="O303" i="35"/>
  <c r="O302" i="35"/>
  <c r="O327" i="35"/>
  <c r="O326" i="35"/>
  <c r="N327" i="35"/>
  <c r="N326" i="35"/>
  <c r="N302" i="35"/>
  <c r="N303" i="35"/>
  <c r="O311" i="35"/>
  <c r="O310" i="35"/>
  <c r="N221" i="35"/>
  <c r="N220" i="35"/>
  <c r="O319" i="35"/>
  <c r="O318" i="35"/>
  <c r="O285" i="35"/>
  <c r="O286" i="35"/>
  <c r="O294" i="35"/>
  <c r="O295" i="35"/>
  <c r="N335" i="35"/>
  <c r="N334" i="35"/>
  <c r="N343" i="35"/>
  <c r="N342" i="35"/>
  <c r="N285" i="35"/>
  <c r="N286" i="35"/>
  <c r="O334" i="35"/>
  <c r="O335" i="35"/>
  <c r="O343" i="35"/>
  <c r="O342" i="35"/>
  <c r="N319" i="35"/>
  <c r="N318" i="35"/>
  <c r="E401" i="35" l="1"/>
  <c r="F401" i="35"/>
  <c r="E393" i="35"/>
  <c r="F393" i="35"/>
  <c r="E385" i="35"/>
  <c r="F385" i="35"/>
  <c r="E377" i="35"/>
  <c r="F377" i="35"/>
  <c r="E369" i="35"/>
  <c r="F369" i="35"/>
  <c r="E361" i="35"/>
  <c r="F361" i="35"/>
  <c r="E353" i="35"/>
  <c r="F353" i="35"/>
  <c r="E345" i="35"/>
  <c r="F345" i="35"/>
  <c r="E337" i="35"/>
  <c r="F337" i="35"/>
  <c r="E329" i="35"/>
  <c r="F329" i="35"/>
  <c r="E321" i="35"/>
  <c r="F321" i="35"/>
  <c r="E313" i="35"/>
  <c r="F313" i="35"/>
  <c r="E305" i="35"/>
  <c r="F305" i="35"/>
  <c r="E297" i="35"/>
  <c r="F297" i="35"/>
  <c r="E232" i="35"/>
  <c r="F232" i="35"/>
  <c r="C401" i="35" l="1"/>
  <c r="D401" i="35"/>
  <c r="C393" i="35"/>
  <c r="D393" i="35"/>
  <c r="C385" i="35"/>
  <c r="D385" i="35"/>
  <c r="C377" i="35"/>
  <c r="D377" i="35"/>
  <c r="C369" i="35"/>
  <c r="D369" i="35"/>
  <c r="C361" i="35"/>
  <c r="D361" i="35"/>
  <c r="C353" i="35"/>
  <c r="D353" i="35"/>
  <c r="C345" i="35"/>
  <c r="D345" i="35"/>
  <c r="C337" i="35"/>
  <c r="D337" i="35"/>
  <c r="C329" i="35"/>
  <c r="D329" i="35"/>
  <c r="C321" i="35"/>
  <c r="D321" i="35"/>
  <c r="C313" i="35"/>
  <c r="D313" i="35"/>
  <c r="C305" i="35"/>
  <c r="D305" i="35"/>
  <c r="C297" i="35"/>
  <c r="D297" i="35"/>
  <c r="D232" i="35"/>
  <c r="B401" i="35" l="1"/>
  <c r="B393" i="35"/>
  <c r="B385" i="35"/>
  <c r="B377" i="35"/>
  <c r="B369" i="35"/>
  <c r="B361" i="35"/>
  <c r="B353" i="35"/>
  <c r="B345" i="35"/>
  <c r="B337" i="35"/>
  <c r="B329" i="35"/>
  <c r="B321" i="35"/>
  <c r="B313" i="35"/>
  <c r="B305" i="35"/>
  <c r="B297" i="35"/>
  <c r="B232" i="35" l="1"/>
  <c r="C150" i="5" l="1"/>
  <c r="C144" i="5"/>
  <c r="C141" i="5"/>
  <c r="C138" i="5"/>
  <c r="C135" i="5"/>
  <c r="C132" i="5"/>
  <c r="C129" i="5"/>
  <c r="C126" i="5"/>
  <c r="C120" i="5"/>
  <c r="C123" i="5"/>
  <c r="C111" i="5"/>
  <c r="C105" i="5"/>
  <c r="C99" i="5"/>
  <c r="C93" i="5"/>
  <c r="C87" i="5"/>
  <c r="C81" i="5"/>
  <c r="C75" i="5"/>
  <c r="C69" i="5"/>
  <c r="C63" i="5"/>
  <c r="C151" i="5" l="1"/>
  <c r="C112" i="5"/>
  <c r="C100" i="5"/>
  <c r="C88" i="5"/>
  <c r="C76" i="5"/>
  <c r="C64" i="5"/>
  <c r="C52" i="5"/>
  <c r="C40" i="5"/>
  <c r="C34" i="5"/>
  <c r="C35" i="5" s="1"/>
  <c r="C28" i="5"/>
  <c r="C22" i="5"/>
  <c r="C23" i="5" s="1"/>
  <c r="C16" i="5"/>
  <c r="C10" i="5"/>
  <c r="C11" i="5" s="1"/>
  <c r="C4" i="5"/>
  <c r="E16" i="5" l="1"/>
  <c r="E40" i="5"/>
  <c r="E57" i="5"/>
  <c r="E64" i="5"/>
  <c r="E81" i="5"/>
  <c r="E33" i="5"/>
  <c r="E87" i="5"/>
  <c r="E111" i="5"/>
  <c r="E123" i="5"/>
  <c r="E63" i="5"/>
  <c r="E76" i="5"/>
  <c r="E100" i="5"/>
  <c r="E151" i="5"/>
  <c r="E150" i="5"/>
  <c r="E11" i="5"/>
  <c r="E22" i="5"/>
  <c r="E35" i="5"/>
  <c r="E27" i="5"/>
  <c r="E15" i="5"/>
  <c r="E39" i="5"/>
  <c r="E4" i="5"/>
  <c r="E28" i="5"/>
  <c r="E45" i="5"/>
  <c r="E10" i="5"/>
  <c r="E23" i="5"/>
  <c r="E34" i="5"/>
  <c r="E51" i="5"/>
  <c r="E93" i="5"/>
  <c r="E120" i="5"/>
  <c r="E132" i="5"/>
  <c r="E144" i="5"/>
  <c r="E69" i="5"/>
  <c r="E75" i="5"/>
  <c r="E99" i="5"/>
  <c r="E129" i="5"/>
  <c r="E141" i="5"/>
  <c r="E52" i="5"/>
  <c r="E138" i="5"/>
  <c r="E126" i="5"/>
  <c r="E21" i="5"/>
  <c r="E88" i="5"/>
  <c r="E112" i="5"/>
  <c r="E9" i="5"/>
  <c r="E105" i="5"/>
  <c r="E135" i="5"/>
  <c r="C117" i="5"/>
  <c r="C118" i="5" s="1"/>
  <c r="C12" i="5"/>
  <c r="C24" i="5"/>
  <c r="C36" i="5"/>
  <c r="C5" i="5"/>
  <c r="C17" i="5"/>
  <c r="C29" i="5"/>
  <c r="C101" i="5"/>
  <c r="C41" i="5"/>
  <c r="C46" i="5"/>
  <c r="C53" i="5"/>
  <c r="C58" i="5"/>
  <c r="C65" i="5"/>
  <c r="C70" i="5"/>
  <c r="C77" i="5"/>
  <c r="C82" i="5"/>
  <c r="C89" i="5"/>
  <c r="C113" i="5"/>
  <c r="C152" i="5"/>
  <c r="C94" i="5"/>
  <c r="C106" i="5"/>
  <c r="C121" i="5"/>
  <c r="C124" i="5"/>
  <c r="C127" i="5"/>
  <c r="C130" i="5"/>
  <c r="C133" i="5"/>
  <c r="C136" i="5"/>
  <c r="C139" i="5"/>
  <c r="C142" i="5"/>
  <c r="C145" i="5"/>
  <c r="E117" i="5" l="1"/>
  <c r="E118" i="5"/>
  <c r="E136" i="5"/>
  <c r="E124" i="5"/>
  <c r="E130" i="5"/>
  <c r="E139" i="5"/>
  <c r="E127" i="5"/>
  <c r="E133" i="5"/>
  <c r="E121" i="5"/>
  <c r="E142" i="5"/>
  <c r="C78" i="5"/>
  <c r="E77" i="5"/>
  <c r="C66" i="5"/>
  <c r="E65" i="5"/>
  <c r="C54" i="5"/>
  <c r="E53" i="5"/>
  <c r="C42" i="5"/>
  <c r="E41" i="5"/>
  <c r="C146" i="5"/>
  <c r="E145" i="5"/>
  <c r="C107" i="5"/>
  <c r="E106" i="5"/>
  <c r="C95" i="5"/>
  <c r="E94" i="5"/>
  <c r="C153" i="5"/>
  <c r="E152" i="5"/>
  <c r="C114" i="5"/>
  <c r="E113" i="5"/>
  <c r="C90" i="5"/>
  <c r="E89" i="5"/>
  <c r="C83" i="5"/>
  <c r="E82" i="5"/>
  <c r="C71" i="5"/>
  <c r="E70" i="5"/>
  <c r="C59" i="5"/>
  <c r="E58" i="5"/>
  <c r="C47" i="5"/>
  <c r="E46" i="5"/>
  <c r="C102" i="5"/>
  <c r="E101" i="5"/>
  <c r="C30" i="5"/>
  <c r="E29" i="5"/>
  <c r="C18" i="5"/>
  <c r="E17" i="5"/>
  <c r="C6" i="5"/>
  <c r="E5" i="5"/>
  <c r="C37" i="5"/>
  <c r="E37" i="5" s="1"/>
  <c r="E36" i="5"/>
  <c r="C25" i="5"/>
  <c r="E25" i="5" s="1"/>
  <c r="E24" i="5"/>
  <c r="C13" i="5"/>
  <c r="E13" i="5" s="1"/>
  <c r="E12" i="5"/>
  <c r="E6" i="5" l="1"/>
  <c r="C7" i="5"/>
  <c r="E7" i="5" s="1"/>
  <c r="E18" i="5"/>
  <c r="C19" i="5"/>
  <c r="E19" i="5" s="1"/>
  <c r="E30" i="5"/>
  <c r="C31" i="5"/>
  <c r="E31" i="5" s="1"/>
  <c r="E102" i="5"/>
  <c r="C103" i="5"/>
  <c r="E103" i="5" s="1"/>
  <c r="E47" i="5"/>
  <c r="C48" i="5"/>
  <c r="E59" i="5"/>
  <c r="C60" i="5"/>
  <c r="E71" i="5"/>
  <c r="C72" i="5"/>
  <c r="E83" i="5"/>
  <c r="C84" i="5"/>
  <c r="E90" i="5"/>
  <c r="C91" i="5"/>
  <c r="E91" i="5" s="1"/>
  <c r="E114" i="5"/>
  <c r="C115" i="5"/>
  <c r="E115" i="5" s="1"/>
  <c r="E153" i="5"/>
  <c r="C154" i="5"/>
  <c r="E154" i="5" s="1"/>
  <c r="E95" i="5"/>
  <c r="C96" i="5"/>
  <c r="E107" i="5"/>
  <c r="C108" i="5"/>
  <c r="E146" i="5"/>
  <c r="C147" i="5"/>
  <c r="E42" i="5"/>
  <c r="C43" i="5"/>
  <c r="E43" i="5" s="1"/>
  <c r="E54" i="5"/>
  <c r="C55" i="5"/>
  <c r="E55" i="5" s="1"/>
  <c r="E66" i="5"/>
  <c r="C67" i="5"/>
  <c r="E67" i="5" s="1"/>
  <c r="E78" i="5"/>
  <c r="C79" i="5"/>
  <c r="E79" i="5" s="1"/>
  <c r="C148" i="5" l="1"/>
  <c r="E148" i="5" s="1"/>
  <c r="E147" i="5"/>
  <c r="C109" i="5"/>
  <c r="E109" i="5" s="1"/>
  <c r="E108" i="5"/>
  <c r="C97" i="5"/>
  <c r="E97" i="5" s="1"/>
  <c r="E96" i="5"/>
  <c r="C85" i="5"/>
  <c r="E85" i="5" s="1"/>
  <c r="E84" i="5"/>
  <c r="C73" i="5"/>
  <c r="E73" i="5" s="1"/>
  <c r="E72" i="5"/>
  <c r="C61" i="5"/>
  <c r="E61" i="5" s="1"/>
  <c r="E60" i="5"/>
  <c r="C49" i="5"/>
  <c r="E49" i="5" s="1"/>
  <c r="E48" i="5"/>
  <c r="N361" i="35"/>
  <c r="N337" i="35" l="1"/>
  <c r="N305" i="35"/>
  <c r="N215" i="35"/>
  <c r="N321" i="35"/>
  <c r="N329" i="35"/>
  <c r="N377" i="35"/>
  <c r="N401" i="35"/>
  <c r="N345" i="35"/>
  <c r="N353" i="35"/>
  <c r="N411" i="35"/>
  <c r="N369" i="35"/>
  <c r="N393" i="35"/>
  <c r="N297" i="35"/>
  <c r="N313" i="35"/>
  <c r="N385" i="35"/>
</calcChain>
</file>

<file path=xl/sharedStrings.xml><?xml version="1.0" encoding="utf-8"?>
<sst xmlns="http://schemas.openxmlformats.org/spreadsheetml/2006/main" count="518" uniqueCount="202">
  <si>
    <t>AyurVAID Centre</t>
  </si>
  <si>
    <t>Treatment Start Date</t>
  </si>
  <si>
    <t>Patient ID</t>
  </si>
  <si>
    <t>Name of Physician</t>
  </si>
  <si>
    <t>Satisfactory Clarity of Treatment Objves</t>
  </si>
  <si>
    <t>Timely &amp; Satisfactory information</t>
  </si>
  <si>
    <t>Daily routine</t>
  </si>
  <si>
    <t>Do's and Don'ts</t>
  </si>
  <si>
    <t>Quality of Medical Care</t>
  </si>
  <si>
    <t>OVERALL QUALITY OF SERVICES (Reception)</t>
  </si>
  <si>
    <t>OVERALL QUALITY OF SERVICES (PBE)</t>
  </si>
  <si>
    <t>Timely &amp; Satisfactory Information (TED)</t>
  </si>
  <si>
    <t>Quality of housekeeping</t>
  </si>
  <si>
    <t>Timeliness of service</t>
  </si>
  <si>
    <t>OPT /IPT #</t>
  </si>
  <si>
    <t>Date and Time of Feedback (TED)</t>
  </si>
  <si>
    <t>TSD + 1 Date</t>
  </si>
  <si>
    <t>Commit to be Conscious(Discharge)</t>
  </si>
  <si>
    <t>Comment</t>
  </si>
  <si>
    <t>Probability that you will RECOMMEND ?</t>
  </si>
  <si>
    <t>Very satisfactory (100%)</t>
  </si>
  <si>
    <t>No</t>
  </si>
  <si>
    <t>Satisfactory (80%)</t>
  </si>
  <si>
    <t>TED - 1</t>
  </si>
  <si>
    <t>OPT IPT #</t>
  </si>
  <si>
    <t>Name of the Physician</t>
  </si>
  <si>
    <t>Timely and Satisfactory Information</t>
  </si>
  <si>
    <t>Quality of Medical Care by your PP</t>
  </si>
  <si>
    <t>Quality of MC by CG</t>
  </si>
  <si>
    <t>Quality of Medical Care by our RMO</t>
  </si>
  <si>
    <t>Quality of Care by CM</t>
  </si>
  <si>
    <t>Overall Quality(Reception)</t>
  </si>
  <si>
    <t>Overall Quality(Pharmacy and Billing)</t>
  </si>
  <si>
    <t>Ease of lodging complaints</t>
  </si>
  <si>
    <t>Resolution of complaints lodged</t>
  </si>
  <si>
    <t>AyurVAID's Medical Care</t>
  </si>
  <si>
    <t>Overall Satisfaction with AVH</t>
  </si>
  <si>
    <t>Probability that you will Recommend</t>
  </si>
  <si>
    <t>Your Suggestion for Improvement</t>
  </si>
  <si>
    <t>Acidity</t>
  </si>
  <si>
    <t>Cought/Cold</t>
  </si>
  <si>
    <t>Rash</t>
  </si>
  <si>
    <t>Loose Motion</t>
  </si>
  <si>
    <t>Pain</t>
  </si>
  <si>
    <t>Fall</t>
  </si>
  <si>
    <t>Other</t>
  </si>
  <si>
    <t>Vomiting</t>
  </si>
  <si>
    <t>Details of Other</t>
  </si>
  <si>
    <t>Actuals</t>
  </si>
  <si>
    <t>i</t>
  </si>
  <si>
    <t>Vomitting</t>
  </si>
  <si>
    <t>Yes</t>
  </si>
  <si>
    <t>ii</t>
  </si>
  <si>
    <t>iii</t>
  </si>
  <si>
    <t>Cough/Cold</t>
  </si>
  <si>
    <t>iv</t>
  </si>
  <si>
    <t>v</t>
  </si>
  <si>
    <t>vi</t>
  </si>
  <si>
    <t>vii</t>
  </si>
  <si>
    <t>viii</t>
  </si>
  <si>
    <t>a) 100%</t>
  </si>
  <si>
    <t>b) 80%</t>
  </si>
  <si>
    <t>c) 60%</t>
  </si>
  <si>
    <t>d) 40%</t>
  </si>
  <si>
    <t>e) 20%</t>
  </si>
  <si>
    <t>Attention by your PP</t>
  </si>
  <si>
    <t>Attention by the RMO</t>
  </si>
  <si>
    <t>Attention by the CM</t>
  </si>
  <si>
    <t>Overall services at AyurVAID hospitals</t>
  </si>
  <si>
    <t>TSD+1: Satisfaction with clarity of treatment objectives</t>
  </si>
  <si>
    <t>TSD+1: Satisfaction with information about your Treatment schedule (Day &amp; Time)</t>
  </si>
  <si>
    <t>TSD+1: Satisfaction with information about your daily routine</t>
  </si>
  <si>
    <t>TSD+1: Satisfaction with information about Do's and Don’ts</t>
  </si>
  <si>
    <t>TSD+1: Attention by your PP</t>
  </si>
  <si>
    <t>TSD+1: Attention by the RMO</t>
  </si>
  <si>
    <t>TSD+1: Attention by the CM</t>
  </si>
  <si>
    <t>TSD+1: Quality of housekeeping</t>
  </si>
  <si>
    <t>TSD+1: Timeliness of service</t>
  </si>
  <si>
    <t>TSD+1: Satisfaction with overall services at AyurVAID Hospitals</t>
  </si>
  <si>
    <t>TED-1: Satisfaction with Primary Physician</t>
  </si>
  <si>
    <t>TED-1: Satisfaction with Caregivers</t>
  </si>
  <si>
    <t>TED-1: Satisfaction with RMO</t>
  </si>
  <si>
    <t>TED-1: Satisfaction with Centre Manager</t>
  </si>
  <si>
    <t>TED-1: Satisfaction with AyurVAID Reception Team</t>
  </si>
  <si>
    <t>TED-1: Satisfaction with Pharmacy and Billing Team</t>
  </si>
  <si>
    <t>TED-1: Satisfaction with ease of lodging complaints</t>
  </si>
  <si>
    <t>TED-1: Satisfaction with effective resolution of complaints lodged</t>
  </si>
  <si>
    <t>TED-1: Satisfaction with Improvement in your health through AyurVAID's Medical Care</t>
  </si>
  <si>
    <t>TED-1: Did you face any adverse (abnormalities/ non-routine) health event during your stay in respect of any of the following:  </t>
  </si>
  <si>
    <t>TED-1: Overall satisfaction with AVH</t>
  </si>
  <si>
    <t>TED-1: Probability that you will recommend AyurVAID to your friends and relatives</t>
  </si>
  <si>
    <t>Date Created</t>
  </si>
  <si>
    <t>Patient Name</t>
  </si>
  <si>
    <t>TSD</t>
  </si>
  <si>
    <t>Jan</t>
  </si>
  <si>
    <t>Feb</t>
  </si>
  <si>
    <t>Mar</t>
  </si>
  <si>
    <t>Apr</t>
  </si>
  <si>
    <t>May</t>
  </si>
  <si>
    <t>Jun</t>
  </si>
  <si>
    <t>Jul</t>
  </si>
  <si>
    <t>Aug</t>
  </si>
  <si>
    <t>Sep</t>
  </si>
  <si>
    <t>Oct</t>
  </si>
  <si>
    <t>Nov</t>
  </si>
  <si>
    <t>Dec</t>
  </si>
  <si>
    <t>Month</t>
  </si>
  <si>
    <t>TED</t>
  </si>
  <si>
    <t>TSD Month</t>
  </si>
  <si>
    <t>TED Month</t>
  </si>
  <si>
    <t xml:space="preserve"># Coverage TSD+1 </t>
  </si>
  <si>
    <t xml:space="preserve"># Coverage TED-1 </t>
  </si>
  <si>
    <t># Treatment TSD</t>
  </si>
  <si>
    <t># Treatment TED</t>
  </si>
  <si>
    <t>Feedback Date</t>
  </si>
  <si>
    <t>Feedback Status</t>
  </si>
  <si>
    <t>Happy with the treatment and the services</t>
  </si>
  <si>
    <t>Done</t>
  </si>
  <si>
    <t>CSAT- OPT &amp; IP</t>
  </si>
  <si>
    <t>a) Excellent - 100%</t>
  </si>
  <si>
    <t>b) V.Good - 80%</t>
  </si>
  <si>
    <t>C) Good - 60%</t>
  </si>
  <si>
    <t>d) Fair - 40%</t>
  </si>
  <si>
    <t>e) Poor - 20%</t>
  </si>
  <si>
    <t>Count</t>
  </si>
  <si>
    <t>Adverse Event</t>
  </si>
  <si>
    <t>Date</t>
  </si>
  <si>
    <t>Type</t>
  </si>
  <si>
    <t>AturaID</t>
  </si>
  <si>
    <t>Document Number</t>
  </si>
  <si>
    <t>Patient Name -----------</t>
  </si>
  <si>
    <t>Status</t>
  </si>
  <si>
    <t>Amount</t>
  </si>
  <si>
    <t>Treatment Type</t>
  </si>
  <si>
    <t>Sales Type</t>
  </si>
  <si>
    <t>Memo</t>
  </si>
  <si>
    <t>Primary Physician</t>
  </si>
  <si>
    <t>Covered by Insurance?</t>
  </si>
  <si>
    <t>Payable By Insurance</t>
  </si>
  <si>
    <t>Cashless / Reimbursement</t>
  </si>
  <si>
    <t>Corporate / Retail</t>
  </si>
  <si>
    <t>Insurance Company</t>
  </si>
  <si>
    <t>Insurance Policy #</t>
  </si>
  <si>
    <t>TPA</t>
  </si>
  <si>
    <t>TPA Card #</t>
  </si>
  <si>
    <t>TPA / CGHS Claim ID</t>
  </si>
  <si>
    <t>Created By</t>
  </si>
  <si>
    <t>Days</t>
  </si>
  <si>
    <t>Date of Birth</t>
  </si>
  <si>
    <t>PP1-Primary Physician</t>
  </si>
  <si>
    <t>Created From</t>
  </si>
  <si>
    <t>OPT/IPT #</t>
  </si>
  <si>
    <t>Primary Diagnosis (Allopathy)</t>
  </si>
  <si>
    <t>Primary Diagnosis (Ayurveda)</t>
  </si>
  <si>
    <t>Sales Order</t>
  </si>
  <si>
    <t>Treatment</t>
  </si>
  <si>
    <t>OPT</t>
  </si>
  <si>
    <t>`</t>
  </si>
  <si>
    <t>Total</t>
  </si>
  <si>
    <t>% Sat</t>
  </si>
  <si>
    <t>TSD+1: Satisfaction with clarity of treatment oBGectives</t>
  </si>
  <si>
    <t>TSD+1: Attention BV your PP</t>
  </si>
  <si>
    <t>TSD+1: Attention BV the RMO</t>
  </si>
  <si>
    <t>TSD+1: Attention BV the CM</t>
  </si>
  <si>
    <t>TED-1: Did you faCB any adverse (abnormalities/ non-routine) health event during your stay in respect of any of the following:  </t>
  </si>
  <si>
    <t>TSD+1: Timeliness of serviCB</t>
  </si>
  <si>
    <t>TED-1: Satisfaction with CBntre Manager</t>
  </si>
  <si>
    <t>TED-1: Satisfaction with AyurVAID ReCBption Team</t>
  </si>
  <si>
    <t>Sleep issue, week, HeadaCEe</t>
  </si>
  <si>
    <t>TSD+1: Satisfaction with information about your Treatment sCEedule (Day &amp; Time)</t>
  </si>
  <si>
    <t>TSD+1: Satisfaction with clarity of treatment Obgectives</t>
  </si>
  <si>
    <r>
      <rPr>
        <b/>
        <sz val="14"/>
        <rFont val="Calibri"/>
        <family val="2"/>
      </rPr>
      <t xml:space="preserve">TED-1: Did you face any adverse (abnormalities/ non-routine) health event during your stay in respect of any of the following: </t>
    </r>
    <r>
      <rPr>
        <b/>
        <sz val="16"/>
        <rFont val="Calibri"/>
        <family val="2"/>
      </rPr>
      <t> </t>
    </r>
  </si>
  <si>
    <t>TSD+1: Satisfaction with information about your Treatment shedule (Day &amp; Time)</t>
  </si>
  <si>
    <t>Average (60%)</t>
  </si>
  <si>
    <t>Unsatisfactory (40%)</t>
  </si>
  <si>
    <t>HRBR</t>
  </si>
  <si>
    <t>CSAT Coverage (IPT)</t>
  </si>
  <si>
    <t>CSAT Coverage (OPT)</t>
  </si>
  <si>
    <t>CSAT Coverage (LT)</t>
  </si>
  <si>
    <t>% Coverage TSD+1</t>
  </si>
  <si>
    <t>% Coverage TED-1</t>
  </si>
  <si>
    <t>% Coverage TSD+1 (IPT+OPT+LT)</t>
  </si>
  <si>
    <t>% Coverage TED-1 (IPT+OPT+LT)</t>
  </si>
  <si>
    <t>CSAT Coverage (IPT+OPT+LT)</t>
  </si>
  <si>
    <t>CSAT Coverage(IPT+OPT+LT)</t>
  </si>
  <si>
    <t>CSAT Coverage(IPT)</t>
  </si>
  <si>
    <t>CSAT Coverage(OPT)</t>
  </si>
  <si>
    <t>CSAT Coverage(LT)</t>
  </si>
  <si>
    <t>Missed TSD</t>
  </si>
  <si>
    <t>Missed TED</t>
  </si>
  <si>
    <t>Dr. Nagendra Kumar (HRBR)</t>
  </si>
  <si>
    <t>OPT#53/2025</t>
  </si>
  <si>
    <t>Dr. Sushma M (HRBR)</t>
  </si>
  <si>
    <t>Pending Fulfillment</t>
  </si>
  <si>
    <t>AVH IT</t>
  </si>
  <si>
    <t>KFHS/AVEIHCL/000227/SaleOrd</t>
  </si>
  <si>
    <t>Dr. Bindu M (IHCL)</t>
  </si>
  <si>
    <t>AVHE-IHCL</t>
  </si>
  <si>
    <t>KFHS/AVHRBR/001759/SaleOrd</t>
  </si>
  <si>
    <t>IPT#183/2025</t>
  </si>
  <si>
    <t>KFHS/AVHRBR/003299/SaleOrd</t>
  </si>
  <si>
    <t>Happy with the clinical part but shared the following : The patient was highly disappointed as no action was taken on the above feedback. He faced several difficulties during his stay, including the absence of any communication facility for assistance. On one occasion late at night, he had to step out of his room to get a towel due to the lack of an intercom. He also requested that he not be contacted again for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</si>
</sst>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9" x14ac:knownFonts="1">
    <font>
      <sz val="11"/>
      <color theme="1"/>
      <name val="Calibri"/>
      <family val="2"/>
      <scheme val="minor"/>
    </font>
    <font>
      <b/>
      <sz val="11"/>
      <color indexed="8"/>
      <name val="Calibri"/>
      <family val="2"/>
    </font>
    <font>
      <b/>
      <sz val="10"/>
      <color indexed="8"/>
      <name val="Calibri"/>
      <family val="2"/>
    </font>
    <font>
      <sz val="10"/>
      <color indexed="8"/>
      <name val="Calibri"/>
      <family val="2"/>
    </font>
    <font>
      <b/>
      <sz val="10"/>
      <name val="Calibri"/>
      <family val="2"/>
    </font>
    <font>
      <sz val="10"/>
      <name val="Calibri"/>
      <family val="2"/>
      <scheme val="minor"/>
    </font>
    <font>
      <b/>
      <sz val="7"/>
      <name val="Arial"/>
      <family val="2"/>
    </font>
    <font>
      <b/>
      <sz val="10"/>
      <color theme="2"/>
      <name val="Calibri"/>
      <family val="2"/>
      <scheme val="minor"/>
    </font>
    <font>
      <b/>
      <sz val="8"/>
      <name val="Arial"/>
      <family val="2"/>
    </font>
    <font>
      <sz val="8"/>
      <color theme="1"/>
      <name val="Calibri"/>
      <family val="2"/>
      <scheme val="minor"/>
    </font>
    <font>
      <b/>
      <sz val="8"/>
      <color theme="0"/>
      <name val="Arial"/>
      <family val="2"/>
    </font>
    <font>
      <b/>
      <sz val="7"/>
      <color theme="0"/>
      <name val="Arial"/>
      <family val="2"/>
    </font>
    <font>
      <b/>
      <sz val="11"/>
      <color theme="0"/>
      <name val="Calibri"/>
      <family val="2"/>
    </font>
    <font>
      <b/>
      <sz val="16"/>
      <name val="Calibri"/>
      <family val="2"/>
    </font>
    <font>
      <sz val="9"/>
      <color indexed="8"/>
      <name val="Trebuchet MS"/>
      <family val="2"/>
    </font>
    <font>
      <b/>
      <sz val="11"/>
      <color theme="0"/>
      <name val="Calibri"/>
      <family val="2"/>
      <scheme val="minor"/>
    </font>
    <font>
      <b/>
      <sz val="11"/>
      <color theme="1"/>
      <name val="Calibri"/>
      <family val="2"/>
      <scheme val="minor"/>
    </font>
    <font>
      <b/>
      <sz val="14"/>
      <name val="Calibri"/>
      <family val="2"/>
    </font>
    <font>
      <sz val="8"/>
      <name val="Calibri"/>
      <family val="2"/>
      <scheme val="minor"/>
    </font>
  </fonts>
  <fills count="10">
    <fill>
      <patternFill patternType="none"/>
    </fill>
    <fill>
      <patternFill patternType="gray125"/>
    </fill>
    <fill>
      <patternFill patternType="solid">
        <fgColor rgb="FFD0D0D0"/>
        <bgColor indexed="64"/>
      </patternFill>
    </fill>
    <fill>
      <patternFill patternType="solid">
        <fgColor theme="4"/>
        <bgColor indexed="64"/>
      </patternFill>
    </fill>
    <fill>
      <patternFill patternType="solid">
        <fgColor theme="0"/>
        <bgColor indexed="64"/>
      </patternFill>
    </fill>
    <fill>
      <patternFill patternType="solid">
        <fgColor rgb="FFC00000"/>
        <bgColor indexed="64"/>
      </patternFill>
    </fill>
    <fill>
      <patternFill patternType="solid">
        <fgColor rgb="FF00B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00"/>
        <bgColor indexed="64"/>
      </patternFill>
    </fill>
  </fills>
  <borders count="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14" fontId="0" fillId="0" borderId="0" xfId="0" applyNumberFormat="1"/>
    <xf numFmtId="0" fontId="4" fillId="0" borderId="4" xfId="0" applyFont="1" applyBorder="1" applyAlignment="1">
      <alignment horizontal="left" vertical="top" wrapText="1"/>
    </xf>
    <xf numFmtId="9" fontId="2" fillId="0" borderId="4" xfId="0" applyNumberFormat="1" applyFont="1" applyBorder="1" applyAlignment="1">
      <alignment horizontal="center" vertical="top" wrapText="1"/>
    </xf>
    <xf numFmtId="0" fontId="0" fillId="0" borderId="4" xfId="0" applyBorder="1"/>
    <xf numFmtId="0" fontId="5" fillId="0" borderId="4" xfId="0" applyFont="1" applyBorder="1" applyAlignment="1">
      <alignment horizontal="left" vertical="center" wrapText="1"/>
    </xf>
    <xf numFmtId="0" fontId="6" fillId="2" borderId="0" xfId="0" applyFont="1" applyFill="1" applyAlignment="1">
      <alignment horizontal="center"/>
    </xf>
    <xf numFmtId="0" fontId="4" fillId="0" borderId="0" xfId="0" applyFont="1" applyAlignment="1">
      <alignment horizontal="left" vertical="center" wrapText="1"/>
    </xf>
    <xf numFmtId="9" fontId="0" fillId="0" borderId="0" xfId="0" applyNumberFormat="1"/>
    <xf numFmtId="17" fontId="7" fillId="3" borderId="4" xfId="0" applyNumberFormat="1" applyFont="1" applyFill="1" applyBorder="1"/>
    <xf numFmtId="9" fontId="0" fillId="0" borderId="4" xfId="0" applyNumberFormat="1" applyBorder="1"/>
    <xf numFmtId="0" fontId="0" fillId="4" borderId="4" xfId="0" applyFill="1" applyBorder="1"/>
    <xf numFmtId="1" fontId="0" fillId="4" borderId="4" xfId="0" applyNumberFormat="1" applyFill="1" applyBorder="1"/>
    <xf numFmtId="0" fontId="0" fillId="0" borderId="0" xfId="0" applyAlignment="1">
      <alignment vertical="center"/>
    </xf>
    <xf numFmtId="0" fontId="0" fillId="0" borderId="0" xfId="0" applyAlignment="1">
      <alignment horizontal="left"/>
    </xf>
    <xf numFmtId="0" fontId="8" fillId="2" borderId="0" xfId="0" applyFont="1" applyFill="1" applyAlignment="1">
      <alignment horizontal="left" vertical="center"/>
    </xf>
    <xf numFmtId="0" fontId="9" fillId="0" borderId="0" xfId="0" applyFont="1" applyAlignment="1">
      <alignment vertical="center"/>
    </xf>
    <xf numFmtId="17" fontId="0" fillId="0" borderId="0" xfId="0" applyNumberFormat="1"/>
    <xf numFmtId="0" fontId="10" fillId="5" borderId="0" xfId="0" applyFont="1" applyFill="1" applyAlignment="1">
      <alignment horizontal="left" vertical="center"/>
    </xf>
    <xf numFmtId="0" fontId="11" fillId="5" borderId="0" xfId="0" applyFont="1" applyFill="1" applyAlignment="1">
      <alignment horizontal="center"/>
    </xf>
    <xf numFmtId="0" fontId="0" fillId="0" borderId="0" xfId="0" applyAlignment="1">
      <alignment horizontal="center" vertical="center"/>
    </xf>
    <xf numFmtId="0" fontId="3" fillId="0" borderId="4" xfId="0" applyFont="1" applyBorder="1" applyAlignment="1">
      <alignment horizontal="center" vertical="center" wrapText="1"/>
    </xf>
    <xf numFmtId="0" fontId="4" fillId="0" borderId="4" xfId="0" applyFont="1" applyBorder="1" applyAlignment="1">
      <alignment horizontal="left" vertical="center" wrapText="1"/>
    </xf>
    <xf numFmtId="0" fontId="0" fillId="0" borderId="4" xfId="0" applyBorder="1" applyAlignment="1">
      <alignment vertical="center"/>
    </xf>
    <xf numFmtId="0" fontId="1" fillId="0" borderId="4" xfId="0" applyFont="1" applyBorder="1" applyAlignment="1">
      <alignment vertical="center"/>
    </xf>
    <xf numFmtId="0" fontId="0" fillId="0" borderId="4" xfId="0" applyBorder="1" applyAlignment="1">
      <alignment horizontal="center" vertical="center"/>
    </xf>
    <xf numFmtId="0" fontId="3" fillId="0" borderId="4" xfId="0" applyFont="1" applyBorder="1" applyAlignment="1">
      <alignment vertical="center" wrapText="1"/>
    </xf>
    <xf numFmtId="9" fontId="2" fillId="0" borderId="4" xfId="0" applyNumberFormat="1" applyFont="1" applyBorder="1" applyAlignment="1">
      <alignment horizontal="center" vertical="center" wrapText="1"/>
    </xf>
    <xf numFmtId="0" fontId="4" fillId="0" borderId="4" xfId="0" applyFont="1" applyBorder="1" applyAlignment="1">
      <alignment horizontal="left" vertical="center"/>
    </xf>
    <xf numFmtId="0" fontId="2" fillId="0" borderId="4" xfId="0" applyFont="1" applyBorder="1" applyAlignment="1">
      <alignment vertical="center" wrapText="1"/>
    </xf>
    <xf numFmtId="0" fontId="3" fillId="0" borderId="0" xfId="0" applyFont="1" applyAlignment="1">
      <alignment vertical="center" wrapText="1"/>
    </xf>
    <xf numFmtId="0" fontId="13" fillId="0" borderId="0" xfId="0" applyFont="1" applyAlignment="1">
      <alignment horizontal="left" vertical="center"/>
    </xf>
    <xf numFmtId="0" fontId="2" fillId="0" borderId="4" xfId="0" applyFont="1" applyBorder="1" applyAlignment="1">
      <alignment horizontal="center" vertical="center" wrapText="1"/>
    </xf>
    <xf numFmtId="0" fontId="14" fillId="0" borderId="4" xfId="0" applyFont="1" applyBorder="1" applyAlignment="1">
      <alignment vertical="center" wrapText="1"/>
    </xf>
    <xf numFmtId="0" fontId="13" fillId="0" borderId="4" xfId="0" applyFont="1" applyBorder="1" applyAlignment="1">
      <alignment horizontal="left" vertical="center"/>
    </xf>
    <xf numFmtId="0" fontId="0" fillId="0" borderId="4" xfId="0" applyBorder="1" applyAlignment="1">
      <alignment wrapText="1"/>
    </xf>
    <xf numFmtId="0" fontId="2" fillId="0" borderId="4" xfId="0" applyFont="1" applyBorder="1" applyAlignment="1">
      <alignment vertical="center"/>
    </xf>
    <xf numFmtId="17" fontId="7" fillId="3" borderId="7" xfId="0" applyNumberFormat="1" applyFont="1" applyFill="1" applyBorder="1"/>
    <xf numFmtId="0" fontId="15" fillId="7" borderId="4" xfId="0" applyFont="1" applyFill="1" applyBorder="1"/>
    <xf numFmtId="0" fontId="16" fillId="0" borderId="4" xfId="0" applyFont="1" applyBorder="1" applyAlignment="1">
      <alignment vertical="center"/>
    </xf>
    <xf numFmtId="0" fontId="17" fillId="0" borderId="0" xfId="0" applyFont="1" applyAlignment="1">
      <alignment horizontal="left" vertical="center"/>
    </xf>
    <xf numFmtId="0" fontId="17" fillId="0" borderId="4" xfId="0" applyFont="1" applyBorder="1" applyAlignment="1">
      <alignment horizontal="left" vertical="center"/>
    </xf>
    <xf numFmtId="0" fontId="17" fillId="0" borderId="6" xfId="0" applyFont="1" applyBorder="1" applyAlignment="1">
      <alignment horizontal="left" vertical="center"/>
    </xf>
    <xf numFmtId="1" fontId="0" fillId="0" borderId="0" xfId="0" applyNumberFormat="1"/>
    <xf numFmtId="0" fontId="0" fillId="0" borderId="1" xfId="0" applyBorder="1"/>
    <xf numFmtId="0" fontId="0" fillId="4" borderId="1" xfId="0" applyFill="1" applyBorder="1"/>
    <xf numFmtId="1" fontId="0" fillId="0" borderId="4" xfId="0" applyNumberFormat="1" applyBorder="1"/>
    <xf numFmtId="0" fontId="15" fillId="8" borderId="0" xfId="0" applyFont="1" applyFill="1"/>
    <xf numFmtId="0" fontId="15" fillId="5" borderId="0" xfId="0" applyFont="1" applyFill="1"/>
    <xf numFmtId="164" fontId="15" fillId="8" borderId="0" xfId="0" applyNumberFormat="1" applyFont="1" applyFill="1"/>
    <xf numFmtId="164" fontId="0" fillId="0" borderId="0" xfId="0" applyNumberFormat="1"/>
    <xf numFmtId="0" fontId="4" fillId="9" borderId="4" xfId="0" applyFont="1" applyFill="1" applyBorder="1" applyAlignment="1">
      <alignment horizontal="left" vertical="center" wrapText="1"/>
    </xf>
    <xf numFmtId="0" fontId="4" fillId="9" borderId="0" xfId="0" applyFont="1" applyFill="1" applyAlignment="1">
      <alignment horizontal="left" vertical="center" wrapText="1"/>
    </xf>
    <xf numFmtId="17" fontId="7" fillId="6" borderId="5" xfId="0" applyNumberFormat="1" applyFont="1" applyFill="1" applyBorder="1" applyAlignment="1">
      <alignment horizontal="center" vertical="center"/>
    </xf>
    <xf numFmtId="17" fontId="7" fillId="6" borderId="2" xfId="0" applyNumberFormat="1" applyFont="1" applyFill="1" applyBorder="1" applyAlignment="1">
      <alignment horizontal="center" vertical="center"/>
    </xf>
    <xf numFmtId="17" fontId="7" fillId="6" borderId="3" xfId="0" applyNumberFormat="1" applyFont="1" applyFill="1" applyBorder="1" applyAlignment="1">
      <alignment horizontal="center" vertical="center"/>
    </xf>
    <xf numFmtId="0" fontId="12" fillId="6" borderId="1" xfId="0" applyFont="1" applyFill="1" applyBorder="1" applyAlignment="1">
      <alignment horizontal="center" vertical="center"/>
    </xf>
    <xf numFmtId="0" fontId="12" fillId="6" borderId="2" xfId="0" applyFont="1" applyFill="1" applyBorder="1" applyAlignment="1">
      <alignment horizontal="center" vertical="center"/>
    </xf>
    <xf numFmtId="0" fontId="12" fillId="6" borderId="3" xfId="0" applyFont="1" applyFill="1" applyBorder="1" applyAlignment="1">
      <alignment horizontal="center"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B0F0"/>
      <color rgb="FF92D050"/>
      <color rgb="FFFAA634"/>
      <color rgb="FFC1D72F"/>
      <color rgb="FFFAA0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Overall Satisfaction - AVH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175483625756443E-2"/>
          <c:y val="0.15858734935619956"/>
          <c:w val="0.92845488691423617"/>
          <c:h val="0.51839618037695046"/>
        </c:manualLayout>
      </c:layout>
      <c:barChart>
        <c:barDir val="col"/>
        <c:grouping val="clustered"/>
        <c:varyColors val="0"/>
        <c:ser>
          <c:idx val="1"/>
          <c:order val="1"/>
          <c:tx>
            <c:strRef>
              <c:f>Graphs!$A$413</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10"/>
              <c:layout>
                <c:manualLayout>
                  <c:x val="-6.077180188392586E-3"/>
                  <c:y val="3.490401396160558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B9-42E0-9180-25DFD3E1DC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Graphs!$B$411:$N$411</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Graphs!$B$413:$N$413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B8C-4212-A6E0-C9BB3FF93F22}"/>
            </c:ext>
          </c:extLst>
        </c:ser>
        <c:ser>
          <c:idx val="2"/>
          <c:order val="2"/>
          <c:tx>
            <c:strRef>
              <c:f>Graphs!$A$414</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2"/>
              <c:layout>
                <c:manualLayout>
                  <c:x val="2.0257267294641955E-3"/>
                  <c:y val="-3.199497652277275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B9-42E0-9180-25DFD3E1DC49}"/>
                </c:ext>
              </c:extLst>
            </c:dLbl>
            <c:dLbl>
              <c:idx val="3"/>
              <c:layout>
                <c:manualLayout>
                  <c:x val="6.07718018839258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7B9-42E0-9180-25DFD3E1DC49}"/>
                </c:ext>
              </c:extLst>
            </c:dLbl>
            <c:dLbl>
              <c:idx val="10"/>
              <c:layout>
                <c:manualLayout>
                  <c:x val="4.0514534589282418E-3"/>
                  <c:y val="6.980802792321117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B9-42E0-9180-25DFD3E1DC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Graphs!$B$411:$N$411</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Graphs!$B$414:$N$414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3B8C-4212-A6E0-C9BB3FF93F22}"/>
            </c:ext>
          </c:extLst>
        </c:ser>
        <c:dLbls>
          <c:dLblPos val="outEnd"/>
          <c:showLegendKey val="0"/>
          <c:showVal val="1"/>
          <c:showCatName val="0"/>
          <c:showSerName val="0"/>
          <c:showPercent val="0"/>
          <c:showBubbleSize val="0"/>
        </c:dLbls>
        <c:gapWidth val="100"/>
        <c:overlap val="-24"/>
        <c:axId val="233050848"/>
        <c:axId val="390596688"/>
        <c:extLst>
          <c:ext xmlns:c15="http://schemas.microsoft.com/office/drawing/2012/chart" uri="{02D57815-91ED-43cb-92C2-25804820EDAC}">
            <c15:filteredBarSeries>
              <c15:ser>
                <c:idx val="0"/>
                <c:order val="0"/>
                <c:tx>
                  <c:strRef>
                    <c:extLst>
                      <c:ext uri="{02D57815-91ED-43cb-92C2-25804820EDAC}">
                        <c15:formulaRef>
                          <c15:sqref>Graphs!$A$412</c15:sqref>
                        </c15:formulaRef>
                      </c:ext>
                    </c:extLst>
                    <c:strCache>
                      <c:ptCount val="1"/>
                      <c:pt idx="0">
                        <c:v>TED-1: Overall satisfaction with AVH</c:v>
                      </c:pt>
                    </c:strCache>
                  </c:strRef>
                </c:tx>
                <c:spPr>
                  <a:solidFill>
                    <a:srgbClr val="00B0F0"/>
                  </a:solidFill>
                  <a:ln>
                    <a:solidFill>
                      <a:srgbClr val="92D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Graphs!$B$411:$N$411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Graphs!$B$412:$N$412</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Graphs!$A$415</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Graphs!$B$411:$N$411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Graphs!$B$415:$N$415</c15:sqref>
                        </c15:formulaRef>
                      </c:ext>
                    </c:extLst>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5="http://schemas.microsoft.com/office/drawing/2012/chart">
                  <c:ext xmlns:c16="http://schemas.microsoft.com/office/drawing/2014/chart" uri="{C3380CC4-5D6E-409C-BE32-E72D297353CC}">
                    <c16:uniqueId val="{00000006-3B8C-4212-A6E0-C9BB3FF93F22}"/>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Graphs!$A$416</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Graphs!$B$411:$N$411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Graphs!$B$416:$N$416</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3B8C-4212-A6E0-C9BB3FF93F22}"/>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Graphs!$A$417</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Graphs!$B$411:$N$411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Graphs!$B$417:$N$417</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8-3B8C-4212-A6E0-C9BB3FF93F22}"/>
                  </c:ext>
                </c:extLst>
              </c15:ser>
            </c15:filteredBarSeries>
          </c:ext>
        </c:extLst>
      </c:barChart>
      <c:dateAx>
        <c:axId val="233050848"/>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596688"/>
        <c:crosses val="autoZero"/>
        <c:auto val="1"/>
        <c:lblOffset val="100"/>
        <c:baseTimeUnit val="months"/>
      </c:dateAx>
      <c:valAx>
        <c:axId val="390596688"/>
        <c:scaling>
          <c:orientation val="minMax"/>
          <c:max val="1"/>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50848"/>
        <c:crosses val="autoZero"/>
        <c:crossBetween val="between"/>
        <c:majorUnit val="0.1"/>
      </c:valAx>
      <c:spPr>
        <a:noFill/>
        <a:ln>
          <a:noFill/>
        </a:ln>
        <a:effectLst/>
      </c:spPr>
    </c:plotArea>
    <c:legend>
      <c:legendPos val="b"/>
      <c:layout>
        <c:manualLayout>
          <c:xMode val="edge"/>
          <c:yMode val="edge"/>
          <c:x val="8.4208576095170767E-2"/>
          <c:y val="0.87185850512404539"/>
          <c:w val="0.36033811338614657"/>
          <c:h val="5.8900935812342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Probability  to recommend  friends and relatives to visit AVH</a:t>
            </a:r>
          </a:p>
          <a:p>
            <a:pPr>
              <a:defRPr/>
            </a:pPr>
            <a:endParaRPr lang="en-IN"/>
          </a:p>
        </c:rich>
      </c:tx>
      <c:layout>
        <c:manualLayout>
          <c:xMode val="edge"/>
          <c:yMode val="edge"/>
          <c:x val="0.14340966438202887"/>
          <c:y val="1.021713428276625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Graphs!$A$234</c:f>
              <c:strCache>
                <c:ptCount val="1"/>
                <c:pt idx="0">
                  <c:v>b)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3"/>
              <c:layout>
                <c:manualLayout>
                  <c:x val="-4.7892711276150317E-3"/>
                  <c:y val="3.550820630994805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7B-44BC-B210-1CD8A51D0BF8}"/>
                </c:ext>
              </c:extLst>
            </c:dLbl>
            <c:dLbl>
              <c:idx val="11"/>
              <c:layout>
                <c:manualLayout>
                  <c:x val="-4.7892711276150317E-3"/>
                  <c:y val="6.509762622157166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7B-44BC-B210-1CD8A51D0B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Graphs!$B$232:$N$232</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Graphs!$B$234:$N$234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B92-4B4F-ACFA-0D1092EDEF77}"/>
            </c:ext>
          </c:extLst>
        </c:ser>
        <c:ser>
          <c:idx val="2"/>
          <c:order val="2"/>
          <c:tx>
            <c:strRef>
              <c:f>Graphs!$A$235</c:f>
              <c:strCache>
                <c:ptCount val="1"/>
                <c:pt idx="0">
                  <c:v>a) 100%</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Graphs!$B$232:$N$232</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Graphs!$B$235:$N$235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8AD-4489-BFEF-4512260C7ED9}"/>
            </c:ext>
          </c:extLst>
        </c:ser>
        <c:dLbls>
          <c:dLblPos val="outEnd"/>
          <c:showLegendKey val="0"/>
          <c:showVal val="1"/>
          <c:showCatName val="0"/>
          <c:showSerName val="0"/>
          <c:showPercent val="0"/>
          <c:showBubbleSize val="0"/>
        </c:dLbls>
        <c:gapWidth val="100"/>
        <c:overlap val="-24"/>
        <c:axId val="390611920"/>
        <c:axId val="390598864"/>
        <c:extLst>
          <c:ext xmlns:c15="http://schemas.microsoft.com/office/drawing/2012/chart" uri="{02D57815-91ED-43cb-92C2-25804820EDAC}">
            <c15:filteredBarSeries>
              <c15:ser>
                <c:idx val="0"/>
                <c:order val="0"/>
                <c:tx>
                  <c:strRef>
                    <c:extLst>
                      <c:ext uri="{02D57815-91ED-43cb-92C2-25804820EDAC}">
                        <c15:formulaRef>
                          <c15:sqref>Graphs!$A$233</c15:sqref>
                        </c15:formulaRef>
                      </c:ext>
                    </c:extLst>
                    <c:strCache>
                      <c:ptCount val="1"/>
                      <c:pt idx="0">
                        <c:v>TED-1: Probability that you will recommend AyurVAID to your friends and relatives</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Graphs!$B$232:$N$232</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Graphs!$B$233:$N$233</c15:sqref>
                        </c15:formulaRef>
                      </c:ext>
                    </c:extLst>
                    <c:numCache>
                      <c:formatCode>General</c:formatCode>
                      <c:ptCount val="12"/>
                    </c:numCache>
                  </c:numRef>
                </c:val>
                <c:extLst>
                  <c:ext xmlns:c16="http://schemas.microsoft.com/office/drawing/2014/chart" uri="{C3380CC4-5D6E-409C-BE32-E72D297353CC}">
                    <c16:uniqueId val="{00000001-32F8-4F23-865A-C813862C95C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Graphs!$A$236</c15:sqref>
                        </c15:formulaRef>
                      </c:ext>
                    </c:extLst>
                    <c:strCache>
                      <c:ptCount val="1"/>
                      <c:pt idx="0">
                        <c:v>c)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Graphs!$B$232:$N$232</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Graphs!$B$236:$N$236</c15:sqref>
                        </c15:formulaRef>
                      </c:ext>
                    </c:extLst>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5="http://schemas.microsoft.com/office/drawing/2012/chart">
                  <c:ext xmlns:c16="http://schemas.microsoft.com/office/drawing/2014/chart" uri="{C3380CC4-5D6E-409C-BE32-E72D297353CC}">
                    <c16:uniqueId val="{00000001-68AD-4489-BFEF-4512260C7ED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Graphs!$A$237</c15:sqref>
                        </c15:formulaRef>
                      </c:ext>
                    </c:extLst>
                    <c:strCache>
                      <c:ptCount val="1"/>
                      <c:pt idx="0">
                        <c:v>d)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Graphs!$B$232:$N$232</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Graphs!$B$237:$N$237</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2-68AD-4489-BFEF-4512260C7ED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Graphs!$A$238</c15:sqref>
                        </c15:formulaRef>
                      </c:ext>
                    </c:extLst>
                    <c:strCache>
                      <c:ptCount val="1"/>
                      <c:pt idx="0">
                        <c:v>e)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Graphs!$B$232:$N$232</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Graphs!$B$238:$N$238</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3-68AD-4489-BFEF-4512260C7ED9}"/>
                  </c:ext>
                </c:extLst>
              </c15:ser>
            </c15:filteredBarSeries>
          </c:ext>
        </c:extLst>
      </c:barChart>
      <c:dateAx>
        <c:axId val="390611920"/>
        <c:scaling>
          <c:orientation val="minMax"/>
        </c:scaling>
        <c:delete val="0"/>
        <c:axPos val="b"/>
        <c:numFmt formatCode="mmm\-yy"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598864"/>
        <c:crosses val="autoZero"/>
        <c:auto val="1"/>
        <c:lblOffset val="100"/>
        <c:baseTimeUnit val="months"/>
      </c:dateAx>
      <c:valAx>
        <c:axId val="390598864"/>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611920"/>
        <c:crosses val="autoZero"/>
        <c:crossBetween val="between"/>
        <c:majorUnit val="0.1"/>
      </c:valAx>
      <c:spPr>
        <a:noFill/>
        <a:ln>
          <a:noFill/>
        </a:ln>
        <a:effectLst/>
      </c:spPr>
    </c:plotArea>
    <c:legend>
      <c:legendPos val="b"/>
      <c:layout>
        <c:manualLayout>
          <c:xMode val="edge"/>
          <c:yMode val="edge"/>
          <c:x val="0.39682092363780219"/>
          <c:y val="0.92209415657944693"/>
          <c:w val="0.21391091023187569"/>
          <c:h val="5.99205175363008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Satisfaction with Improvement in your health through AyurVAID's Medical Care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Graphs!$A$225</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4"/>
              <c:layout>
                <c:manualLayout>
                  <c:x val="-6.4102553317424904E-3"/>
                  <c:y val="-7.629264064731081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1E-496F-BD47-DFC6A6E6C3F9}"/>
                </c:ext>
              </c:extLst>
            </c:dLbl>
            <c:dLbl>
              <c:idx val="11"/>
              <c:layout>
                <c:manualLayout>
                  <c:x val="-6.4102553317426474E-3"/>
                  <c:y val="-7.629264064731081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1E-496F-BD47-DFC6A6E6C3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Graphs!$B$223:$N$223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Graphs!$B$225:$N$225</c:f>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3-67C0-4E15-B41F-5E0676F99668}"/>
            </c:ext>
          </c:extLst>
        </c:ser>
        <c:ser>
          <c:idx val="2"/>
          <c:order val="2"/>
          <c:tx>
            <c:strRef>
              <c:f>Graphs!$A$226</c:f>
              <c:strCache>
                <c:ptCount val="1"/>
                <c:pt idx="0">
                  <c:v>a) Excellent - 100%</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5"/>
              <c:layout>
                <c:manualLayout>
                  <c:x val="8.5470071089899877E-3"/>
                  <c:y val="-7.629264064731081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9C4-4C58-8F17-7C2FDF6E7F2C}"/>
                </c:ext>
              </c:extLst>
            </c:dLbl>
            <c:dLbl>
              <c:idx val="7"/>
              <c:layout>
                <c:manualLayout>
                  <c:x val="2.136751777247496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61E-496F-BD47-DFC6A6E6C3F9}"/>
                </c:ext>
              </c:extLst>
            </c:dLbl>
            <c:dLbl>
              <c:idx val="8"/>
              <c:layout>
                <c:manualLayout>
                  <c:x val="4.273503554494993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1E-496F-BD47-DFC6A6E6C3F9}"/>
                </c:ext>
              </c:extLst>
            </c:dLbl>
            <c:dLbl>
              <c:idx val="1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1E-496F-BD47-DFC6A6E6C3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Graphs!$B$223:$N$223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Graphs!$B$226:$N$226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FFB-4500-8EA4-3CF6AF4DDBB5}"/>
            </c:ext>
          </c:extLst>
        </c:ser>
        <c:dLbls>
          <c:dLblPos val="outEnd"/>
          <c:showLegendKey val="0"/>
          <c:showVal val="1"/>
          <c:showCatName val="0"/>
          <c:showSerName val="0"/>
          <c:showPercent val="0"/>
          <c:showBubbleSize val="0"/>
        </c:dLbls>
        <c:gapWidth val="100"/>
        <c:overlap val="-24"/>
        <c:axId val="390599408"/>
        <c:axId val="390608112"/>
        <c:extLst>
          <c:ext xmlns:c15="http://schemas.microsoft.com/office/drawing/2012/chart" uri="{02D57815-91ED-43cb-92C2-25804820EDAC}">
            <c15:filteredBarSeries>
              <c15:ser>
                <c:idx val="0"/>
                <c:order val="0"/>
                <c:tx>
                  <c:strRef>
                    <c:extLst>
                      <c:ext uri="{02D57815-91ED-43cb-92C2-25804820EDAC}">
                        <c15:formulaRef>
                          <c15:sqref>Graphs!$A$224</c15:sqref>
                        </c15:formulaRef>
                      </c:ext>
                    </c:extLst>
                    <c:strCache>
                      <c:ptCount val="1"/>
                      <c:pt idx="0">
                        <c:v>TED-1: Satisfaction with Improvement in your health through AyurVAID's Medical Care</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Graphs!$B$223:$N$223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Graphs!$B$224:$N$224</c15:sqref>
                        </c15:formulaRef>
                      </c:ext>
                    </c:extLst>
                    <c:numCache>
                      <c:formatCode>General</c:formatCode>
                      <c:ptCount val="12"/>
                    </c:numCache>
                  </c:numRef>
                </c:val>
                <c:extLst>
                  <c:ext xmlns:c16="http://schemas.microsoft.com/office/drawing/2014/chart" uri="{C3380CC4-5D6E-409C-BE32-E72D297353CC}">
                    <c16:uniqueId val="{00000001-67C0-4E15-B41F-5E0676F9966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Graphs!$A$227</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Graphs!$B$223:$N$223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Graphs!$B$227:$N$227</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1-6FFB-4500-8EA4-3CF6AF4DDBB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Graphs!$A$228</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Graphs!$B$223:$N$223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Graphs!$B$228:$N$228</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2-6FFB-4500-8EA4-3CF6AF4DDBB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Graphs!$A$229</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Graphs!$B$223:$N$223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Graphs!$B$229:$N$229</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3-6FFB-4500-8EA4-3CF6AF4DDBB5}"/>
                  </c:ext>
                </c:extLst>
              </c15:ser>
            </c15:filteredBarSeries>
          </c:ext>
        </c:extLst>
      </c:barChart>
      <c:dateAx>
        <c:axId val="390599408"/>
        <c:scaling>
          <c:orientation val="minMax"/>
        </c:scaling>
        <c:delete val="0"/>
        <c:axPos val="b"/>
        <c:numFmt formatCode="mmm\-yy"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608112"/>
        <c:crosses val="autoZero"/>
        <c:auto val="1"/>
        <c:lblOffset val="100"/>
        <c:baseTimeUnit val="months"/>
      </c:dateAx>
      <c:valAx>
        <c:axId val="390608112"/>
        <c:scaling>
          <c:orientation val="minMax"/>
          <c:max val="1"/>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599408"/>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CSAT Coverage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294662769743538E-2"/>
          <c:y val="0.18733759290189736"/>
          <c:w val="0.90018636028732213"/>
          <c:h val="0.46965834949833113"/>
        </c:manualLayout>
      </c:layout>
      <c:barChart>
        <c:barDir val="col"/>
        <c:grouping val="clustered"/>
        <c:varyColors val="0"/>
        <c:ser>
          <c:idx val="0"/>
          <c:order val="0"/>
          <c:tx>
            <c:strRef>
              <c:f>Graphs!$A$245</c:f>
              <c:strCache>
                <c:ptCount val="1"/>
                <c:pt idx="0">
                  <c:v>% Coverage TSD+1 (IPT+OPT+LT)</c:v>
                </c:pt>
              </c:strCache>
            </c:strRef>
          </c:tx>
          <c:spPr>
            <a:solidFill>
              <a:srgbClr val="92D050"/>
            </a:solidFill>
            <a:ln>
              <a:solidFill>
                <a:srgbClr val="92D05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Graphs!$B$240:$N$240</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Graphs!$B$245:$N$245</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FFB4-4CF3-9466-6C40B59860D2}"/>
            </c:ext>
          </c:extLst>
        </c:ser>
        <c:ser>
          <c:idx val="1"/>
          <c:order val="1"/>
          <c:tx>
            <c:strRef>
              <c:f>Graphs!$A$246</c:f>
              <c:strCache>
                <c:ptCount val="1"/>
                <c:pt idx="0">
                  <c:v>% Coverage TED-1 (IPT+OPT+LT)</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Graphs!$B$240:$N$240</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Graphs!$B$246:$N$246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FFB4-4CF3-9466-6C40B59860D2}"/>
            </c:ext>
          </c:extLst>
        </c:ser>
        <c:dLbls>
          <c:showLegendKey val="0"/>
          <c:showVal val="0"/>
          <c:showCatName val="0"/>
          <c:showSerName val="0"/>
          <c:showPercent val="0"/>
          <c:showBubbleSize val="0"/>
        </c:dLbls>
        <c:gapWidth val="100"/>
        <c:overlap val="-24"/>
        <c:axId val="390599952"/>
        <c:axId val="390602672"/>
      </c:barChart>
      <c:dateAx>
        <c:axId val="390599952"/>
        <c:scaling>
          <c:orientation val="minMax"/>
        </c:scaling>
        <c:delete val="0"/>
        <c:axPos val="b"/>
        <c:numFmt formatCode="mmm\-yy"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602672"/>
        <c:crosses val="autoZero"/>
        <c:auto val="1"/>
        <c:lblOffset val="100"/>
        <c:baseTimeUnit val="months"/>
      </c:dateAx>
      <c:valAx>
        <c:axId val="390602672"/>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599952"/>
        <c:crosses val="autoZero"/>
        <c:crossBetween val="between"/>
        <c:majorUnit val="0.1"/>
        <c:minorUnit val="0.1"/>
      </c:valAx>
      <c:spPr>
        <a:noFill/>
        <a:ln>
          <a:noFill/>
        </a:ln>
        <a:effectLst/>
      </c:spPr>
    </c:plotArea>
    <c:legend>
      <c:legendPos val="b"/>
      <c:layout>
        <c:manualLayout>
          <c:xMode val="edge"/>
          <c:yMode val="edge"/>
          <c:x val="0.35162862679568996"/>
          <c:y val="0.85241248884293508"/>
          <c:w val="0.29674266195970961"/>
          <c:h val="7.57581059943264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cap="none" spc="0" normalizeH="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latin typeface="+mn-lt"/>
                <a:ea typeface="+mn-ea"/>
                <a:cs typeface="+mn-cs"/>
              </a:rPr>
              <a:t>Adverse (abnormalities/ non-routine) health event during  stay</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normalizeH="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7.1350985211975068E-2"/>
          <c:y val="0.1788282620451338"/>
          <c:w val="0.92845488691423617"/>
          <c:h val="0.52174626412904423"/>
        </c:manualLayout>
      </c:layout>
      <c:barChart>
        <c:barDir val="col"/>
        <c:grouping val="clustered"/>
        <c:varyColors val="0"/>
        <c:ser>
          <c:idx val="1"/>
          <c:order val="1"/>
          <c:tx>
            <c:strRef>
              <c:f>Graphs!$A$276</c:f>
              <c:strCache>
                <c:ptCount val="1"/>
                <c:pt idx="0">
                  <c:v>No</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Graphs!$B$274:$N$274</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Graphs!$B$276:$N$276</c:f>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5="http://schemas.microsoft.com/office/drawing/2012/chart">
            <c:ext xmlns:c16="http://schemas.microsoft.com/office/drawing/2014/chart" uri="{C3380CC4-5D6E-409C-BE32-E72D297353CC}">
              <c16:uniqueId val="{0000000D-DB10-4350-873A-8C6EE806C5FF}"/>
            </c:ext>
          </c:extLst>
        </c:ser>
        <c:ser>
          <c:idx val="2"/>
          <c:order val="2"/>
          <c:tx>
            <c:strRef>
              <c:f>Graphs!$A$277</c:f>
              <c:strCache>
                <c:ptCount val="1"/>
                <c:pt idx="0">
                  <c:v>Yes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Graphs!$B$274:$N$274</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Graphs!$B$277:$N$277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E-DB10-4350-873A-8C6EE806C5FF}"/>
            </c:ext>
          </c:extLst>
        </c:ser>
        <c:dLbls>
          <c:dLblPos val="outEnd"/>
          <c:showLegendKey val="0"/>
          <c:showVal val="1"/>
          <c:showCatName val="0"/>
          <c:showSerName val="0"/>
          <c:showPercent val="0"/>
          <c:showBubbleSize val="0"/>
        </c:dLbls>
        <c:gapWidth val="269"/>
        <c:axId val="390605936"/>
        <c:axId val="390606480"/>
        <c:extLst>
          <c:ext xmlns:c15="http://schemas.microsoft.com/office/drawing/2012/chart" uri="{02D57815-91ED-43cb-92C2-25804820EDAC}">
            <c15:filteredBarSeries>
              <c15:ser>
                <c:idx val="0"/>
                <c:order val="0"/>
                <c:tx>
                  <c:strRef>
                    <c:extLst>
                      <c:ext uri="{02D57815-91ED-43cb-92C2-25804820EDAC}">
                        <c15:formulaRef>
                          <c15:sqref>Graphs!$A$275</c15:sqref>
                        </c15:formulaRef>
                      </c:ext>
                    </c:extLst>
                    <c:strCache>
                      <c:ptCount val="1"/>
                      <c:pt idx="0">
                        <c:v>TED-1: Did you faCB any adverse (abnormalities/ non-routine) health event during your stay in respect of any of the following: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numRef>
                    <c:extLst>
                      <c:ext uri="{02D57815-91ED-43cb-92C2-25804820EDAC}">
                        <c15:formulaRef>
                          <c15:sqref>Graphs!$B$274:$N$274</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Graphs!$B$275:$N$275</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ext>
        </c:extLst>
      </c:barChart>
      <c:dateAx>
        <c:axId val="3906059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0606480"/>
        <c:crosses val="autoZero"/>
        <c:auto val="1"/>
        <c:lblOffset val="100"/>
        <c:baseTimeUnit val="months"/>
      </c:dateAx>
      <c:valAx>
        <c:axId val="390606480"/>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605936"/>
        <c:crosses val="autoZero"/>
        <c:crossBetween val="between"/>
        <c:majorUnit val="0.1"/>
      </c:valAx>
      <c:spPr>
        <a:noFill/>
        <a:ln>
          <a:noFill/>
        </a:ln>
        <a:effectLst/>
      </c:spPr>
    </c:plotArea>
    <c:legend>
      <c:legendPos val="r"/>
      <c:layout>
        <c:manualLayout>
          <c:xMode val="edge"/>
          <c:yMode val="edge"/>
          <c:x val="0.45410400864642991"/>
          <c:y val="0.84372066132534451"/>
          <c:w val="7.0021669230485695E-2"/>
          <c:h val="0.140801986735387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Satisfaction with information about Do's and Don’ts</a:t>
            </a:r>
            <a:r>
              <a:rPr lang="en-IN" sz="1600" b="1" i="0" u="none" strike="noStrike" baseline="0"/>
              <a:t> </a:t>
            </a:r>
            <a:endParaRPr lang="en-IN"/>
          </a:p>
        </c:rich>
      </c:tx>
      <c:layout>
        <c:manualLayout>
          <c:xMode val="edge"/>
          <c:yMode val="edge"/>
          <c:x val="0.11646938769986169"/>
          <c:y val="3.471105904149523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Graphs!$A$299</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2605462818350869E-2"/>
                  <c:y val="1.2972963154692169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C4B5-4537-8F7A-FF6385C48E05}"/>
                </c:ext>
              </c:extLst>
            </c:dLbl>
            <c:dLbl>
              <c:idx val="2"/>
              <c:layout>
                <c:manualLayout>
                  <c:x val="-2.97980112403447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C4B5-4537-8F7A-FF6385C48E05}"/>
                </c:ext>
              </c:extLst>
            </c:dLbl>
            <c:dLbl>
              <c:idx val="3"/>
              <c:layout>
                <c:manualLayout>
                  <c:x val="-9.1741712072863435E-4"/>
                  <c:y val="4.613610149942245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C4B5-4537-8F7A-FF6385C48E05}"/>
                </c:ext>
              </c:extLst>
            </c:dLbl>
            <c:dLbl>
              <c:idx val="4"/>
              <c:layout>
                <c:manualLayout>
                  <c:x val="-6.8806284054644421E-4"/>
                  <c:y val="-4.1798581405698837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C4B5-4537-8F7A-FF6385C48E05}"/>
                </c:ext>
              </c:extLst>
            </c:dLbl>
            <c:dLbl>
              <c:idx val="7"/>
              <c:layout>
                <c:manualLayout>
                  <c:x val="-2.97980112403447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C4B5-4537-8F7A-FF6385C48E05}"/>
                </c:ext>
              </c:extLst>
            </c:dLbl>
            <c:dLbl>
              <c:idx val="8"/>
              <c:layout>
                <c:manualLayout>
                  <c:x val="3.4367051660653108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C4B5-4537-8F7A-FF6385C48E05}"/>
                </c:ext>
              </c:extLst>
            </c:dLbl>
            <c:dLbl>
              <c:idx val="9"/>
              <c:layout>
                <c:manualLayout>
                  <c:x val="-6.1889565282510876E-3"/>
                  <c:y val="4.179858140569714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C4B5-4537-8F7A-FF6385C48E05}"/>
                </c:ext>
              </c:extLst>
            </c:dLbl>
            <c:dLbl>
              <c:idx val="10"/>
              <c:layout>
                <c:manualLayout>
                  <c:x val="-2.0798878311403925E-3"/>
                  <c:y val="1.612947170530934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C4B5-4537-8F7A-FF6385C48E05}"/>
                </c:ext>
              </c:extLst>
            </c:dLbl>
            <c:dLbl>
              <c:idx val="11"/>
              <c:layout>
                <c:manualLayout>
                  <c:x val="-5.2715394075224953E-3"/>
                  <c:y val="4.6136101499423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C4B5-4537-8F7A-FF6385C48E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Graphs!$B$297:$N$297</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Graphs!$B$299:$N$299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Graphs!$A$300</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5"/>
              <c:layout>
                <c:manualLayout>
                  <c:x val="2.2917382834880258E-3"/>
                  <c:y val="1.3840830449826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35-45B5-A9DF-CC337A5DFF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Graphs!$B$297:$N$297</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Graphs!$B$300:$N$300</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8200-4055-83FA-A427688D0F5B}"/>
            </c:ext>
          </c:extLst>
        </c:ser>
        <c:dLbls>
          <c:dLblPos val="outEnd"/>
          <c:showLegendKey val="0"/>
          <c:showVal val="1"/>
          <c:showCatName val="0"/>
          <c:showSerName val="0"/>
          <c:showPercent val="0"/>
          <c:showBubbleSize val="0"/>
        </c:dLbls>
        <c:gapWidth val="100"/>
        <c:overlap val="-24"/>
        <c:axId val="392470976"/>
        <c:axId val="392466624"/>
        <c:extLst>
          <c:ext xmlns:c15="http://schemas.microsoft.com/office/drawing/2012/chart" uri="{02D57815-91ED-43cb-92C2-25804820EDAC}">
            <c15:filteredBarSeries>
              <c15:ser>
                <c:idx val="0"/>
                <c:order val="0"/>
                <c:tx>
                  <c:strRef>
                    <c:extLst>
                      <c:ext uri="{02D57815-91ED-43cb-92C2-25804820EDAC}">
                        <c15:formulaRef>
                          <c15:sqref>Graphs!$A$298</c15:sqref>
                        </c15:formulaRef>
                      </c:ext>
                    </c:extLst>
                    <c:strCache>
                      <c:ptCount val="1"/>
                      <c:pt idx="0">
                        <c:v>TSD+1: Satisfaction with information about Do's and Don’ts</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Graphs!$B$297:$N$297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Graphs!$B$298:$N$298</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Graphs!$A$301</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Graphs!$B$297:$N$297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Graphs!$B$301:$N$301</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8200-4055-83FA-A427688D0F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Graphs!$A$302</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Graphs!$B$297:$N$297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Graphs!$B$302:$N$302</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8200-4055-83FA-A427688D0F5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Graphs!$A$303</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Graphs!$B$297:$N$297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Graphs!$B$303:$N$303</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8200-4055-83FA-A427688D0F5B}"/>
                  </c:ext>
                </c:extLst>
              </c15:ser>
            </c15:filteredBarSeries>
          </c:ext>
        </c:extLst>
      </c:barChart>
      <c:dateAx>
        <c:axId val="392470976"/>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66624"/>
        <c:crosses val="autoZero"/>
        <c:auto val="1"/>
        <c:lblOffset val="100"/>
        <c:baseTimeUnit val="months"/>
      </c:dateAx>
      <c:valAx>
        <c:axId val="392466624"/>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0976"/>
        <c:crosses val="autoZero"/>
        <c:crossBetween val="between"/>
        <c:majorUnit val="0.1"/>
      </c:valAx>
      <c:spPr>
        <a:noFill/>
        <a:ln>
          <a:noFill/>
        </a:ln>
        <a:effectLst/>
      </c:spPr>
    </c:plotArea>
    <c:legend>
      <c:legendPos val="b"/>
      <c:layout>
        <c:manualLayout>
          <c:xMode val="edge"/>
          <c:yMode val="edge"/>
          <c:x val="0.12174445450955798"/>
          <c:y val="0.91005191017789444"/>
          <c:w val="0.40778697905781425"/>
          <c:h val="7.78552161948614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Attention by your PP</a:t>
            </a:r>
            <a:r>
              <a:rPr lang="en-IN" sz="1600" b="1" i="0" u="none" strike="noStrike" baseline="0"/>
              <a:t> </a:t>
            </a:r>
            <a:endParaRPr lang="en-IN"/>
          </a:p>
        </c:rich>
      </c:tx>
      <c:layout>
        <c:manualLayout>
          <c:xMode val="edge"/>
          <c:yMode val="edge"/>
          <c:x val="0.31658244489350329"/>
          <c:y val="2.59875655077998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Graphs!$A$307</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1036206090677021E-3"/>
                  <c:y val="8.359353004749839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B7CB-4765-B5CE-0F8895CD9F7C}"/>
                </c:ext>
              </c:extLst>
            </c:dLbl>
            <c:dLbl>
              <c:idx val="1"/>
              <c:layout>
                <c:manualLayout>
                  <c:x val="-2.2831050228310501E-3"/>
                  <c:y val="-4.613610149942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CB-4765-B5CE-0F8895CD9F7C}"/>
                </c:ext>
              </c:extLst>
            </c:dLbl>
            <c:dLbl>
              <c:idx val="2"/>
              <c:layout>
                <c:manualLayout>
                  <c:x val="-6.6210045662100456E-4"/>
                  <c:y val="9.2272202998846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B7CB-4765-B5CE-0F8895CD9F7C}"/>
                </c:ext>
              </c:extLst>
            </c:dLbl>
            <c:dLbl>
              <c:idx val="3"/>
              <c:layout>
                <c:manualLayout>
                  <c:x val="-8.8286053284435334E-4"/>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B7CB-4765-B5CE-0F8895CD9F7C}"/>
                </c:ext>
              </c:extLst>
            </c:dLbl>
            <c:dLbl>
              <c:idx val="4"/>
              <c:layout>
                <c:manualLayout>
                  <c:x val="-9.7945205479452058E-3"/>
                  <c:y val="-4.1798581405697987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B7CB-4765-B5CE-0F8895CD9F7C}"/>
                </c:ext>
              </c:extLst>
            </c:dLbl>
            <c:dLbl>
              <c:idx val="7"/>
              <c:layout>
                <c:manualLayout>
                  <c:x val="-2.9452054794520547E-3"/>
                  <c:y val="4.6136101499423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B7CB-4765-B5CE-0F8895CD9F7C}"/>
                </c:ext>
              </c:extLst>
            </c:dLbl>
            <c:dLbl>
              <c:idx val="8"/>
              <c:layout>
                <c:manualLayout>
                  <c:x val="-3.3867256318988359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B7CB-4765-B5CE-0F8895CD9F7C}"/>
                </c:ext>
              </c:extLst>
            </c:dLbl>
            <c:dLbl>
              <c:idx val="9"/>
              <c:layout>
                <c:manualLayout>
                  <c:x val="-6.1111710351274585E-3"/>
                  <c:y val="-4.3375200937253083E-4"/>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B7CB-4765-B5CE-0F8895CD9F7C}"/>
                </c:ext>
              </c:extLst>
            </c:dLbl>
            <c:dLbl>
              <c:idx val="10"/>
              <c:layout>
                <c:manualLayout>
                  <c:x val="-8.8773235537338655E-3"/>
                  <c:y val="6.226557320473349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B7CB-4765-B5CE-0F8895CD9F7C}"/>
                </c:ext>
              </c:extLst>
            </c:dLbl>
            <c:dLbl>
              <c:idx val="11"/>
              <c:layout>
                <c:manualLayout>
                  <c:x val="-9.7945205479453724E-3"/>
                  <c:y val="4.6136101499423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B7CB-4765-B5CE-0F8895CD9F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Graphs!$B$305:$N$305</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Graphs!$B$307:$N$307</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Graphs!$A$308</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Graphs!$B$305:$N$305</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Graphs!$B$308:$N$308</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77F4-435E-8F50-193AA1F7BDF1}"/>
            </c:ext>
          </c:extLst>
        </c:ser>
        <c:dLbls>
          <c:dLblPos val="outEnd"/>
          <c:showLegendKey val="0"/>
          <c:showVal val="1"/>
          <c:showCatName val="0"/>
          <c:showSerName val="0"/>
          <c:showPercent val="0"/>
          <c:showBubbleSize val="0"/>
        </c:dLbls>
        <c:gapWidth val="100"/>
        <c:overlap val="-24"/>
        <c:axId val="392477504"/>
        <c:axId val="392472608"/>
        <c:extLst>
          <c:ext xmlns:c15="http://schemas.microsoft.com/office/drawing/2012/chart" uri="{02D57815-91ED-43cb-92C2-25804820EDAC}">
            <c15:filteredBarSeries>
              <c15:ser>
                <c:idx val="0"/>
                <c:order val="0"/>
                <c:tx>
                  <c:strRef>
                    <c:extLst>
                      <c:ext uri="{02D57815-91ED-43cb-92C2-25804820EDAC}">
                        <c15:formulaRef>
                          <c15:sqref>Graphs!$A$306</c15:sqref>
                        </c15:formulaRef>
                      </c:ext>
                    </c:extLst>
                    <c:strCache>
                      <c:ptCount val="1"/>
                      <c:pt idx="0">
                        <c:v>TSD+1: Attention BV your PP</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Graphs!$B$305:$N$305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Graphs!$B$306:$N$306</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Graphs!$A$309</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Graphs!$B$305:$N$305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Graphs!$B$309:$N$309</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77F4-435E-8F50-193AA1F7BDF1}"/>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Graphs!$A$310</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Graphs!$B$305:$N$305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Graphs!$B$310:$N$310</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77F4-435E-8F50-193AA1F7BDF1}"/>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Graphs!$A$311</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Graphs!$B$305:$N$305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Graphs!$B$311:$N$311</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77F4-435E-8F50-193AA1F7BDF1}"/>
                  </c:ext>
                </c:extLst>
              </c15:ser>
            </c15:filteredBarSeries>
          </c:ext>
        </c:extLst>
      </c:barChart>
      <c:dateAx>
        <c:axId val="392477504"/>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2608"/>
        <c:crosses val="autoZero"/>
        <c:auto val="1"/>
        <c:lblOffset val="100"/>
        <c:baseTimeUnit val="months"/>
      </c:dateAx>
      <c:valAx>
        <c:axId val="39247260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7504"/>
        <c:crosses val="autoZero"/>
        <c:crossBetween val="between"/>
        <c:majorUnit val="0.1"/>
      </c:valAx>
      <c:spPr>
        <a:noFill/>
        <a:ln>
          <a:noFill/>
        </a:ln>
        <a:effectLst/>
      </c:spPr>
    </c:plotArea>
    <c:legend>
      <c:legendPos val="b"/>
      <c:layout>
        <c:manualLayout>
          <c:xMode val="edge"/>
          <c:yMode val="edge"/>
          <c:x val="0.12174445450955798"/>
          <c:y val="0.91005191017789444"/>
          <c:w val="0.40736571151746526"/>
          <c:h val="7.78552161948614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Attention by the RMO</a:t>
            </a:r>
            <a:r>
              <a:rPr lang="en-IN" sz="1600" b="1" i="0" u="none" strike="noStrike" baseline="0"/>
              <a:t> </a:t>
            </a:r>
            <a:endParaRPr lang="en-IN" b="0"/>
          </a:p>
        </c:rich>
      </c:tx>
      <c:layout>
        <c:manualLayout>
          <c:xMode val="edge"/>
          <c:yMode val="edge"/>
          <c:x val="0.31658244489350329"/>
          <c:y val="2.59875655077998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Graphs!$A$315</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5.7302479678867915E-3"/>
                  <c:y val="8.359353004749839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5FFD-4A57-9B32-C4E6E299E752}"/>
                </c:ext>
              </c:extLst>
            </c:dLbl>
            <c:dLbl>
              <c:idx val="1"/>
              <c:layout>
                <c:manualLayout>
                  <c:x val="-6.875214850464076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FFD-4A57-9B32-C4E6E299E752}"/>
                </c:ext>
              </c:extLst>
            </c:dLbl>
            <c:dLbl>
              <c:idx val="2"/>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5FFD-4A57-9B32-C4E6E299E752}"/>
                </c:ext>
              </c:extLst>
            </c:dLbl>
            <c:dLbl>
              <c:idx val="3"/>
              <c:layout>
                <c:manualLayout>
                  <c:x val="-5.5008936877046855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5FFD-4A57-9B32-C4E6E299E752}"/>
                </c:ext>
              </c:extLst>
            </c:dLbl>
            <c:dLbl>
              <c:idx val="4"/>
              <c:layout>
                <c:manualLayout>
                  <c:x val="-5.2715394075225795E-3"/>
                  <c:y val="-4.1798581405698837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5FFD-4A57-9B32-C4E6E299E752}"/>
                </c:ext>
              </c:extLst>
            </c:dLbl>
            <c:dLbl>
              <c:idx val="7"/>
              <c:layout>
                <c:manualLayout>
                  <c:x val="-6.8806284054644421E-4"/>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5FFD-4A57-9B32-C4E6E299E752}"/>
                </c:ext>
              </c:extLst>
            </c:dLbl>
            <c:dLbl>
              <c:idx val="8"/>
              <c:layout>
                <c:manualLayout>
                  <c:x val="-3.4385096843988503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5FFD-4A57-9B32-C4E6E299E752}"/>
                </c:ext>
              </c:extLst>
            </c:dLbl>
            <c:dLbl>
              <c:idx val="9"/>
              <c:layout>
                <c:manualLayout>
                  <c:x val="6.8625832221298907E-4"/>
                  <c:y val="4.179858140569714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5FFD-4A57-9B32-C4E6E299E752}"/>
                </c:ext>
              </c:extLst>
            </c:dLbl>
            <c:dLbl>
              <c:idx val="10"/>
              <c:layout>
                <c:manualLayout>
                  <c:x val="-4.3716261146284179E-3"/>
                  <c:y val="6.226557320473434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5FFD-4A57-9B32-C4E6E299E752}"/>
                </c:ext>
              </c:extLst>
            </c:dLbl>
            <c:dLbl>
              <c:idx val="11"/>
              <c:layout>
                <c:manualLayout>
                  <c:x val="-2.9798011240346378E-3"/>
                  <c:y val="-4.6136101499423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5FFD-4A57-9B32-C4E6E299E7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Graphs!$B$313:$N$313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Graphs!$B$315:$N$315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Graphs!$A$316</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Graphs!$B$313:$N$313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Graphs!$B$316:$N$316</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3680-43EC-A675-4FCC5B95AF6B}"/>
            </c:ext>
          </c:extLst>
        </c:ser>
        <c:dLbls>
          <c:dLblPos val="outEnd"/>
          <c:showLegendKey val="0"/>
          <c:showVal val="1"/>
          <c:showCatName val="0"/>
          <c:showSerName val="0"/>
          <c:showPercent val="0"/>
          <c:showBubbleSize val="0"/>
        </c:dLbls>
        <c:gapWidth val="100"/>
        <c:overlap val="-24"/>
        <c:axId val="392473152"/>
        <c:axId val="392481856"/>
        <c:extLst>
          <c:ext xmlns:c15="http://schemas.microsoft.com/office/drawing/2012/chart" uri="{02D57815-91ED-43cb-92C2-25804820EDAC}">
            <c15:filteredBarSeries>
              <c15:ser>
                <c:idx val="0"/>
                <c:order val="0"/>
                <c:tx>
                  <c:strRef>
                    <c:extLst>
                      <c:ext uri="{02D57815-91ED-43cb-92C2-25804820EDAC}">
                        <c15:formulaRef>
                          <c15:sqref>Graphs!$A$314</c15:sqref>
                        </c15:formulaRef>
                      </c:ext>
                    </c:extLst>
                    <c:strCache>
                      <c:ptCount val="1"/>
                      <c:pt idx="0">
                        <c:v>TSD+1: Attention BV the RMO</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Graphs!$B$313:$N$313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Graphs!$B$314:$N$314</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Graphs!$A$317</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Graphs!$B$313:$N$313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Graphs!$B$317:$N$317</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3680-43EC-A675-4FCC5B95AF6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Graphs!$A$318</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Graphs!$B$313:$N$313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Graphs!$B$318:$N$318</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3680-43EC-A675-4FCC5B95AF6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Graphs!$A$319</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Graphs!$B$313:$N$313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Graphs!$B$319:$N$319</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3680-43EC-A675-4FCC5B95AF6B}"/>
                  </c:ext>
                </c:extLst>
              </c15:ser>
            </c15:filteredBarSeries>
          </c:ext>
        </c:extLst>
      </c:barChart>
      <c:dateAx>
        <c:axId val="392473152"/>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81856"/>
        <c:crosses val="autoZero"/>
        <c:auto val="1"/>
        <c:lblOffset val="100"/>
        <c:baseTimeUnit val="months"/>
      </c:dateAx>
      <c:valAx>
        <c:axId val="392481856"/>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3152"/>
        <c:crosses val="autoZero"/>
        <c:crossBetween val="between"/>
        <c:majorUnit val="0.1"/>
      </c:valAx>
      <c:spPr>
        <a:noFill/>
        <a:ln>
          <a:noFill/>
        </a:ln>
        <a:effectLst/>
      </c:spPr>
    </c:plotArea>
    <c:legend>
      <c:legendPos val="b"/>
      <c:layout>
        <c:manualLayout>
          <c:xMode val="edge"/>
          <c:yMode val="edge"/>
          <c:x val="0.12174445450955798"/>
          <c:y val="0.91005191017789444"/>
          <c:w val="0.40778697905781425"/>
          <c:h val="7.78552161948614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 Attention by the CM</a:t>
            </a:r>
            <a:r>
              <a:rPr lang="en-IN" sz="1600" b="1" i="0" u="none" strike="noStrike" baseline="0"/>
              <a:t> </a:t>
            </a:r>
            <a:endParaRPr lang="en-IN" b="0"/>
          </a:p>
        </c:rich>
      </c:tx>
      <c:layout>
        <c:manualLayout>
          <c:xMode val="edge"/>
          <c:yMode val="edge"/>
          <c:x val="0.31658244489350329"/>
          <c:y val="2.59875655077998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Graphs!$A$323</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5.6698306547298023E-3"/>
                  <c:y val="8.359353004749839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CBE8-40E1-905D-77E2EE1B6F11}"/>
                </c:ext>
              </c:extLst>
            </c:dLbl>
            <c:dLbl>
              <c:idx val="2"/>
              <c:layout>
                <c:manualLayout>
                  <c:x val="1.6210045662100458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CBE8-40E1-905D-77E2EE1B6F11}"/>
                </c:ext>
              </c:extLst>
            </c:dLbl>
            <c:dLbl>
              <c:idx val="3"/>
              <c:layout>
                <c:manualLayout>
                  <c:x val="-8.8286053284435334E-4"/>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CBE8-40E1-905D-77E2EE1B6F11}"/>
                </c:ext>
              </c:extLst>
            </c:dLbl>
            <c:dLbl>
              <c:idx val="4"/>
              <c:layout>
                <c:manualLayout>
                  <c:x val="-2.9452054794520547E-3"/>
                  <c:y val="-4.1798581405698837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CBE8-40E1-905D-77E2EE1B6F11}"/>
                </c:ext>
              </c:extLst>
            </c:dLbl>
            <c:dLbl>
              <c:idx val="7"/>
              <c:layout>
                <c:manualLayout>
                  <c:x val="-5.2283105022831889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CBE8-40E1-905D-77E2EE1B6F11}"/>
                </c:ext>
              </c:extLst>
            </c:dLbl>
            <c:dLbl>
              <c:idx val="8"/>
              <c:layout>
                <c:manualLayout>
                  <c:x val="3.4625894365943144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CBE8-40E1-905D-77E2EE1B6F11}"/>
                </c:ext>
              </c:extLst>
            </c:dLbl>
            <c:dLbl>
              <c:idx val="9"/>
              <c:layout>
                <c:manualLayout>
                  <c:x val="-1.5449609894653579E-3"/>
                  <c:y val="4.179858140569714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CBE8-40E1-905D-77E2EE1B6F11}"/>
                </c:ext>
              </c:extLst>
            </c:dLbl>
            <c:dLbl>
              <c:idx val="10"/>
              <c:layout>
                <c:manualLayout>
                  <c:x val="2.5382015604213859E-3"/>
                  <c:y val="-3.000662979411395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CBE8-40E1-905D-77E2EE1B6F11}"/>
                </c:ext>
              </c:extLst>
            </c:dLbl>
            <c:dLbl>
              <c:idx val="11"/>
              <c:layout>
                <c:manualLayout>
                  <c:x val="-7.5114155251141549E-3"/>
                  <c:y val="4.6136101499423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CBE8-40E1-905D-77E2EE1B6F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Graphs!$B$321:$N$321</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Graphs!$B$323:$N$323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Graphs!$A$324</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Graphs!$B$321:$N$321</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Graphs!$B$324:$N$324</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8376-4EC4-817B-61A489422CF5}"/>
            </c:ext>
          </c:extLst>
        </c:ser>
        <c:dLbls>
          <c:dLblPos val="outEnd"/>
          <c:showLegendKey val="0"/>
          <c:showVal val="1"/>
          <c:showCatName val="0"/>
          <c:showSerName val="0"/>
          <c:showPercent val="0"/>
          <c:showBubbleSize val="0"/>
        </c:dLbls>
        <c:gapWidth val="100"/>
        <c:overlap val="-24"/>
        <c:axId val="392469344"/>
        <c:axId val="392479680"/>
        <c:extLst>
          <c:ext xmlns:c15="http://schemas.microsoft.com/office/drawing/2012/chart" uri="{02D57815-91ED-43cb-92C2-25804820EDAC}">
            <c15:filteredBarSeries>
              <c15:ser>
                <c:idx val="0"/>
                <c:order val="0"/>
                <c:tx>
                  <c:strRef>
                    <c:extLst>
                      <c:ext uri="{02D57815-91ED-43cb-92C2-25804820EDAC}">
                        <c15:formulaRef>
                          <c15:sqref>Graphs!$A$322</c15:sqref>
                        </c15:formulaRef>
                      </c:ext>
                    </c:extLst>
                    <c:strCache>
                      <c:ptCount val="1"/>
                      <c:pt idx="0">
                        <c:v>TSD+1: Attention BV the CM</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Graphs!$B$321:$N$321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Graphs!$B$322:$N$322</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Graphs!$A$325</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Graphs!$B$321:$N$321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Graphs!$B$325:$N$325</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8376-4EC4-817B-61A489422CF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Graphs!$A$326</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Graphs!$B$321:$N$321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Graphs!$B$326:$N$326</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8376-4EC4-817B-61A489422CF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Graphs!$A$327</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Graphs!$B$321:$N$321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Graphs!$B$327:$N$327</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8376-4EC4-817B-61A489422CF5}"/>
                  </c:ext>
                </c:extLst>
              </c15:ser>
            </c15:filteredBarSeries>
          </c:ext>
        </c:extLst>
      </c:barChart>
      <c:dateAx>
        <c:axId val="392469344"/>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9680"/>
        <c:crosses val="autoZero"/>
        <c:auto val="1"/>
        <c:lblOffset val="100"/>
        <c:baseTimeUnit val="months"/>
      </c:dateAx>
      <c:valAx>
        <c:axId val="392479680"/>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69344"/>
        <c:crosses val="autoZero"/>
        <c:crossBetween val="between"/>
        <c:majorUnit val="0.1"/>
      </c:valAx>
      <c:spPr>
        <a:noFill/>
        <a:ln>
          <a:noFill/>
        </a:ln>
        <a:effectLst/>
      </c:spPr>
    </c:plotArea>
    <c:legend>
      <c:legendPos val="b"/>
      <c:layout>
        <c:manualLayout>
          <c:xMode val="edge"/>
          <c:yMode val="edge"/>
          <c:x val="0.12174445450955798"/>
          <c:y val="0.91005191017789444"/>
          <c:w val="0.40736571151746526"/>
          <c:h val="7.78552161948614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Quality of housekeeping</a:t>
            </a:r>
            <a:r>
              <a:rPr lang="en-IN" sz="1600" b="1" i="0" u="none" strike="noStrike" baseline="0"/>
              <a:t> </a:t>
            </a:r>
            <a:endParaRPr lang="en-IN" b="0"/>
          </a:p>
        </c:rich>
      </c:tx>
      <c:layout>
        <c:manualLayout>
          <c:xMode val="edge"/>
          <c:yMode val="edge"/>
          <c:x val="0.31658244489350329"/>
          <c:y val="2.59875655077998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6.9052847194514336E-2"/>
          <c:y val="0.22219040801717968"/>
          <c:w val="0.92845488691423617"/>
          <c:h val="0.54657934424863563"/>
        </c:manualLayout>
      </c:layout>
      <c:barChart>
        <c:barDir val="col"/>
        <c:grouping val="clustered"/>
        <c:varyColors val="0"/>
        <c:ser>
          <c:idx val="1"/>
          <c:order val="1"/>
          <c:tx>
            <c:strRef>
              <c:f>Graphs!$A$331</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0311935228704883E-2"/>
                  <c:y val="8.359456635318665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1436-413A-9954-8CE8794A2D42}"/>
                </c:ext>
              </c:extLst>
            </c:dLbl>
            <c:dLbl>
              <c:idx val="2"/>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1436-413A-9954-8CE8794A2D42}"/>
                </c:ext>
              </c:extLst>
            </c:dLbl>
            <c:dLbl>
              <c:idx val="3"/>
              <c:layout>
                <c:manualLayout>
                  <c:x val="8.2495481829639363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1436-413A-9954-8CE8794A2D42}"/>
                </c:ext>
              </c:extLst>
            </c:dLbl>
            <c:dLbl>
              <c:idx val="4"/>
              <c:layout>
                <c:manualLayout>
                  <c:x val="-2.97980112403447E-3"/>
                  <c:y val="-4.17984502420764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1436-413A-9954-8CE8794A2D42}"/>
                </c:ext>
              </c:extLst>
            </c:dLbl>
            <c:dLbl>
              <c:idx val="7"/>
              <c:layout>
                <c:manualLayout>
                  <c:x val="6.1871611372229518E-3"/>
                  <c:y val="-7.6627467283380521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1436-413A-9954-8CE8794A2D42}"/>
                </c:ext>
              </c:extLst>
            </c:dLbl>
            <c:dLbl>
              <c:idx val="8"/>
              <c:layout>
                <c:manualLayout>
                  <c:x val="1.0311935228704768E-2"/>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1436-413A-9954-8CE8794A2D42}"/>
                </c:ext>
              </c:extLst>
            </c:dLbl>
            <c:dLbl>
              <c:idx val="9"/>
              <c:layout>
                <c:manualLayout>
                  <c:x val="1.4436709320186737E-2"/>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1436-413A-9954-8CE8794A2D42}"/>
                </c:ext>
              </c:extLst>
            </c:dLbl>
            <c:dLbl>
              <c:idx val="10"/>
              <c:layout>
                <c:manualLayout>
                  <c:x val="1.1670578588688437E-2"/>
                  <c:y val="1.0840105316886721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1436-413A-9954-8CE8794A2D42}"/>
                </c:ext>
              </c:extLst>
            </c:dLbl>
            <c:dLbl>
              <c:idx val="11"/>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1436-413A-9954-8CE8794A2D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Graphs!$B$329:$N$329</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Graphs!$B$331:$N$331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Graphs!$A$332</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Graphs!$B$329:$N$329</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Graphs!$B$332:$N$332</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4361-4D1C-BA1A-D202844F47F3}"/>
            </c:ext>
          </c:extLst>
        </c:ser>
        <c:dLbls>
          <c:dLblPos val="outEnd"/>
          <c:showLegendKey val="0"/>
          <c:showVal val="1"/>
          <c:showCatName val="0"/>
          <c:showSerName val="0"/>
          <c:showPercent val="0"/>
          <c:showBubbleSize val="0"/>
        </c:dLbls>
        <c:gapWidth val="100"/>
        <c:overlap val="-24"/>
        <c:axId val="392479136"/>
        <c:axId val="392478592"/>
        <c:extLst>
          <c:ext xmlns:c15="http://schemas.microsoft.com/office/drawing/2012/chart" uri="{02D57815-91ED-43cb-92C2-25804820EDAC}">
            <c15:filteredBarSeries>
              <c15:ser>
                <c:idx val="0"/>
                <c:order val="0"/>
                <c:tx>
                  <c:strRef>
                    <c:extLst>
                      <c:ext uri="{02D57815-91ED-43cb-92C2-25804820EDAC}">
                        <c15:formulaRef>
                          <c15:sqref>Graphs!$A$330</c15:sqref>
                        </c15:formulaRef>
                      </c:ext>
                    </c:extLst>
                    <c:strCache>
                      <c:ptCount val="1"/>
                      <c:pt idx="0">
                        <c:v>TSD+1: Quality of housekeeping</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Graphs!$B$329:$N$329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Graphs!$B$330:$N$330</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Graphs!$A$333</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Graphs!$B$329:$N$329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Graphs!$B$333:$N$333</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4361-4D1C-BA1A-D202844F47F3}"/>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Graphs!$A$334</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Graphs!$B$329:$N$329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Graphs!$B$334:$N$334</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4361-4D1C-BA1A-D202844F47F3}"/>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Graphs!$A$335</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Graphs!$B$329:$N$329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Graphs!$B$335:$N$335</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4361-4D1C-BA1A-D202844F47F3}"/>
                  </c:ext>
                </c:extLst>
              </c15:ser>
            </c15:filteredBarSeries>
          </c:ext>
        </c:extLst>
      </c:barChart>
      <c:dateAx>
        <c:axId val="392479136"/>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8592"/>
        <c:crosses val="autoZero"/>
        <c:auto val="1"/>
        <c:lblOffset val="100"/>
        <c:baseTimeUnit val="months"/>
      </c:dateAx>
      <c:valAx>
        <c:axId val="392478592"/>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9136"/>
        <c:crosses val="autoZero"/>
        <c:crossBetween val="between"/>
        <c:majorUnit val="0.1"/>
      </c:valAx>
      <c:spPr>
        <a:noFill/>
        <a:ln>
          <a:noFill/>
        </a:ln>
        <a:effectLst/>
      </c:spPr>
    </c:plotArea>
    <c:legend>
      <c:legendPos val="b"/>
      <c:layout>
        <c:manualLayout>
          <c:xMode val="edge"/>
          <c:yMode val="edge"/>
          <c:x val="0.12174445450955798"/>
          <c:y val="0.91005191017789444"/>
          <c:w val="0.40778697905781425"/>
          <c:h val="7.2534356803078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Timeliness of service</a:t>
            </a:r>
            <a:r>
              <a:rPr lang="en-IN" sz="1600" b="1" i="0" u="none" strike="noStrike" baseline="0"/>
              <a:t> </a:t>
            </a:r>
            <a:endParaRPr lang="en-IN" b="0"/>
          </a:p>
        </c:rich>
      </c:tx>
      <c:layout>
        <c:manualLayout>
          <c:xMode val="edge"/>
          <c:yMode val="edge"/>
          <c:x val="0.31658244489350329"/>
          <c:y val="2.59875655077998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Graphs!$A$339</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3.3867256318987522E-3"/>
                  <c:y val="8.359476173657631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44CE-4E69-AAF4-047A001B53A3}"/>
                </c:ext>
              </c:extLst>
            </c:dLbl>
            <c:dLbl>
              <c:idx val="2"/>
              <c:layout>
                <c:manualLayout>
                  <c:x val="-2.9452054794520967E-3"/>
                  <c:y val="-4.397537379067802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44CE-4E69-AAF4-047A001B53A3}"/>
                </c:ext>
              </c:extLst>
            </c:dLbl>
            <c:dLbl>
              <c:idx val="3"/>
              <c:layout>
                <c:manualLayout>
                  <c:x val="-8.8286053284435334E-4"/>
                  <c:y val="-4.397537379067802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44CE-4E69-AAF4-047A001B53A3}"/>
                </c:ext>
              </c:extLst>
            </c:dLbl>
            <c:dLbl>
              <c:idx val="4"/>
              <c:layout>
                <c:manualLayout>
                  <c:x val="-5.2283105022831048E-3"/>
                  <c:y val="2.177992922387853E-4"/>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44CE-4E69-AAF4-047A001B53A3}"/>
                </c:ext>
              </c:extLst>
            </c:dLbl>
            <c:dLbl>
              <c:idx val="7"/>
              <c:layout>
                <c:manualLayout>
                  <c:x val="-6.6210045662108826E-4"/>
                  <c:y val="-8.0620587280337684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44CE-4E69-AAF4-047A001B53A3}"/>
                </c:ext>
              </c:extLst>
            </c:dLbl>
            <c:dLbl>
              <c:idx val="8"/>
              <c:layout>
                <c:manualLayout>
                  <c:x val="1.179484413763348E-3"/>
                  <c:y val="-8.0620587280337684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44CE-4E69-AAF4-047A001B53A3}"/>
                </c:ext>
              </c:extLst>
            </c:dLbl>
            <c:dLbl>
              <c:idx val="9"/>
              <c:layout>
                <c:manualLayout>
                  <c:x val="7.381440333656923E-4"/>
                  <c:y val="-2.1779929223894655E-4"/>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44CE-4E69-AAF4-047A001B53A3}"/>
                </c:ext>
              </c:extLst>
            </c:dLbl>
            <c:dLbl>
              <c:idx val="10"/>
              <c:layout>
                <c:manualLayout>
                  <c:x val="2.5382015604213859E-3"/>
                  <c:y val="1.0840102770794892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44CE-4E69-AAF4-047A001B53A3}"/>
                </c:ext>
              </c:extLst>
            </c:dLbl>
            <c:dLbl>
              <c:idx val="11"/>
              <c:layout>
                <c:manualLayout>
                  <c:x val="-2.9452054794520547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44CE-4E69-AAF4-047A001B53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Graphs!$B$337:$N$337</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Graphs!$B$339:$N$339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Graphs!$A$340</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Graphs!$B$337:$N$337</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Graphs!$B$340:$N$340</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1-2E3D-4288-88E9-C3C48A42AF66}"/>
            </c:ext>
          </c:extLst>
        </c:ser>
        <c:dLbls>
          <c:dLblPos val="outEnd"/>
          <c:showLegendKey val="0"/>
          <c:showVal val="1"/>
          <c:showCatName val="0"/>
          <c:showSerName val="0"/>
          <c:showPercent val="0"/>
          <c:showBubbleSize val="0"/>
        </c:dLbls>
        <c:gapWidth val="100"/>
        <c:overlap val="-24"/>
        <c:axId val="392476960"/>
        <c:axId val="392467712"/>
        <c:extLst>
          <c:ext xmlns:c15="http://schemas.microsoft.com/office/drawing/2012/chart" uri="{02D57815-91ED-43cb-92C2-25804820EDAC}">
            <c15:filteredBarSeries>
              <c15:ser>
                <c:idx val="0"/>
                <c:order val="0"/>
                <c:tx>
                  <c:strRef>
                    <c:extLst>
                      <c:ext uri="{02D57815-91ED-43cb-92C2-25804820EDAC}">
                        <c15:formulaRef>
                          <c15:sqref>Graphs!$A$338</c15:sqref>
                        </c15:formulaRef>
                      </c:ext>
                    </c:extLst>
                    <c:strCache>
                      <c:ptCount val="1"/>
                      <c:pt idx="0">
                        <c:v>TSD+1: Timeliness of serviCB</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Graphs!$B$337:$N$337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Graphs!$B$338:$N$338</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Graphs!$A$341</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Graphs!$B$337:$N$337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Graphs!$B$341:$N$341</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2-2E3D-4288-88E9-C3C48A42AF6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Graphs!$A$342</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Graphs!$B$337:$N$337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Graphs!$B$342:$N$342</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3-2E3D-4288-88E9-C3C48A42AF6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Graphs!$A$343</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Graphs!$B$337:$N$337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Graphs!$B$343:$N$343</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4-2E3D-4288-88E9-C3C48A42AF66}"/>
                  </c:ext>
                </c:extLst>
              </c15:ser>
            </c15:filteredBarSeries>
          </c:ext>
        </c:extLst>
      </c:barChart>
      <c:dateAx>
        <c:axId val="392476960"/>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67712"/>
        <c:crosses val="autoZero"/>
        <c:auto val="1"/>
        <c:lblOffset val="100"/>
        <c:baseTimeUnit val="months"/>
      </c:dateAx>
      <c:valAx>
        <c:axId val="392467712"/>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6960"/>
        <c:crosses val="autoZero"/>
        <c:crossBetween val="between"/>
        <c:majorUnit val="0.1"/>
      </c:valAx>
      <c:spPr>
        <a:noFill/>
        <a:ln>
          <a:noFill/>
        </a:ln>
        <a:effectLst/>
      </c:spPr>
    </c:plotArea>
    <c:legend>
      <c:legendPos val="b"/>
      <c:layout>
        <c:manualLayout>
          <c:xMode val="edge"/>
          <c:yMode val="edge"/>
          <c:x val="0.12174445450955798"/>
          <c:y val="0.91005191017789444"/>
          <c:w val="0.40736571151746526"/>
          <c:h val="7.42089626659464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TED-1: Satisfaction with Primary Physician</a:t>
            </a:r>
            <a:r>
              <a:rPr lang="en-IN" sz="1600" b="1" i="0" u="none" strike="noStrike" baseline="0"/>
              <a:t> </a:t>
            </a:r>
            <a:endParaRPr lang="en-IN" b="0"/>
          </a:p>
        </c:rich>
      </c:tx>
      <c:layout>
        <c:manualLayout>
          <c:xMode val="edge"/>
          <c:yMode val="edge"/>
          <c:x val="0.17970928855132048"/>
          <c:y val="3.83715657833792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Graphs!$A$347</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0311935228704883E-2"/>
                  <c:y val="8.359456635318665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2FF6-48DF-B21F-B8B48E829C1F}"/>
                </c:ext>
              </c:extLst>
            </c:dLbl>
            <c:dLbl>
              <c:idx val="2"/>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2FF6-48DF-B21F-B8B48E829C1F}"/>
                </c:ext>
              </c:extLst>
            </c:dLbl>
            <c:dLbl>
              <c:idx val="3"/>
              <c:layout>
                <c:manualLayout>
                  <c:x val="8.2495481829639363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2FF6-48DF-B21F-B8B48E829C1F}"/>
                </c:ext>
              </c:extLst>
            </c:dLbl>
            <c:dLbl>
              <c:idx val="4"/>
              <c:layout>
                <c:manualLayout>
                  <c:x val="6.1871611372228763E-3"/>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2FF6-48DF-B21F-B8B48E829C1F}"/>
                </c:ext>
              </c:extLst>
            </c:dLbl>
            <c:dLbl>
              <c:idx val="7"/>
              <c:layout>
                <c:manualLayout>
                  <c:x val="6.1871611372229518E-3"/>
                  <c:y val="-7.6627467283380521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2FF6-48DF-B21F-B8B48E829C1F}"/>
                </c:ext>
              </c:extLst>
            </c:dLbl>
            <c:dLbl>
              <c:idx val="8"/>
              <c:layout>
                <c:manualLayout>
                  <c:x val="1.0311935228704768E-2"/>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2FF6-48DF-B21F-B8B48E829C1F}"/>
                </c:ext>
              </c:extLst>
            </c:dLbl>
            <c:dLbl>
              <c:idx val="9"/>
              <c:layout>
                <c:manualLayout>
                  <c:x val="-1.6054799612750365E-3"/>
                  <c:y val="-1.1845714643503217E-4"/>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2FF6-48DF-B21F-B8B48E829C1F}"/>
                </c:ext>
              </c:extLst>
            </c:dLbl>
            <c:dLbl>
              <c:idx val="10"/>
              <c:layout>
                <c:manualLayout>
                  <c:x val="2.5035887358356591E-3"/>
                  <c:y val="6.5418805241221059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2FF6-48DF-B21F-B8B48E829C1F}"/>
                </c:ext>
              </c:extLst>
            </c:dLbl>
            <c:dLbl>
              <c:idx val="11"/>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2FF6-48DF-B21F-B8B48E829C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Graphs!$B$345:$N$345</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Graphs!$B$347:$N$347</c:f>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Graphs!$A$348</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6.8752148504640769E-3"/>
                  <c:y val="4.29830217064251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95-4B4D-8B85-43BBE7F96E97}"/>
                </c:ext>
              </c:extLst>
            </c:dLbl>
            <c:dLbl>
              <c:idx val="10"/>
              <c:layout>
                <c:manualLayout>
                  <c:x val="6.8752148504640769E-3"/>
                  <c:y val="8.59660434128511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95-4B4D-8B85-43BBE7F96E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Graphs!$B$345:$N$345</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Graphs!$B$348:$N$348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E19B-41B6-A7E5-2F20CFE60686}"/>
            </c:ext>
          </c:extLst>
        </c:ser>
        <c:dLbls>
          <c:dLblPos val="outEnd"/>
          <c:showLegendKey val="0"/>
          <c:showVal val="1"/>
          <c:showCatName val="0"/>
          <c:showSerName val="0"/>
          <c:showPercent val="0"/>
          <c:showBubbleSize val="0"/>
        </c:dLbls>
        <c:gapWidth val="100"/>
        <c:overlap val="-24"/>
        <c:axId val="392468256"/>
        <c:axId val="392469888"/>
        <c:extLst>
          <c:ext xmlns:c15="http://schemas.microsoft.com/office/drawing/2012/chart" uri="{02D57815-91ED-43cb-92C2-25804820EDAC}">
            <c15:filteredBarSeries>
              <c15:ser>
                <c:idx val="0"/>
                <c:order val="0"/>
                <c:tx>
                  <c:strRef>
                    <c:extLst>
                      <c:ext uri="{02D57815-91ED-43cb-92C2-25804820EDAC}">
                        <c15:formulaRef>
                          <c15:sqref>Graphs!$A$346</c15:sqref>
                        </c15:formulaRef>
                      </c:ext>
                    </c:extLst>
                    <c:strCache>
                      <c:ptCount val="1"/>
                      <c:pt idx="0">
                        <c:v>TED-1: Satisfaction with Primary Physician</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Graphs!$B$345:$N$345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Graphs!$B$346:$N$346</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Graphs!$A$349</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Graphs!$B$345:$N$345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Graphs!$B$349:$N$349</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E19B-41B6-A7E5-2F20CFE6068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Graphs!$A$350</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Graphs!$B$345:$N$345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Graphs!$B$350:$N$350</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E19B-41B6-A7E5-2F20CFE6068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Graphs!$A$351</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Graphs!$B$345:$N$345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Graphs!$B$351:$N$351</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E19B-41B6-A7E5-2F20CFE60686}"/>
                  </c:ext>
                </c:extLst>
              </c15:ser>
            </c15:filteredBarSeries>
          </c:ext>
        </c:extLst>
      </c:barChart>
      <c:dateAx>
        <c:axId val="392468256"/>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69888"/>
        <c:crosses val="autoZero"/>
        <c:auto val="1"/>
        <c:lblOffset val="100"/>
        <c:baseTimeUnit val="months"/>
      </c:dateAx>
      <c:valAx>
        <c:axId val="39246988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68256"/>
        <c:crosses val="autoZero"/>
        <c:crossBetween val="between"/>
        <c:majorUnit val="0.1"/>
      </c:valAx>
      <c:spPr>
        <a:noFill/>
        <a:ln>
          <a:noFill/>
        </a:ln>
        <a:effectLst/>
      </c:spPr>
    </c:plotArea>
    <c:legend>
      <c:legendPos val="b"/>
      <c:layout>
        <c:manualLayout>
          <c:xMode val="edge"/>
          <c:yMode val="edge"/>
          <c:x val="0.12174445450955798"/>
          <c:y val="0.91005191017789444"/>
          <c:w val="0.40778697905781425"/>
          <c:h val="7.2534356803078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TED-1: Satisfaction with RMO</a:t>
            </a:r>
            <a:r>
              <a:rPr lang="en-IN" sz="1600" b="1" i="0" u="none" strike="noStrike" baseline="0"/>
              <a:t> </a:t>
            </a:r>
            <a:endParaRPr lang="en-IN" b="0"/>
          </a:p>
        </c:rich>
      </c:tx>
      <c:layout>
        <c:manualLayout>
          <c:xMode val="edge"/>
          <c:yMode val="edge"/>
          <c:x val="0.2741045687873086"/>
          <c:y val="4.249953275964343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Graphs!$A$315</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Graphs!$B$313:$N$313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Graphs!$B$315:$N$315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Graphs!$A$316</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Graphs!$B$313:$N$313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Graphs!$B$316:$N$316</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9097-43EF-B9A6-B80E04A9D256}"/>
            </c:ext>
          </c:extLst>
        </c:ser>
        <c:dLbls>
          <c:dLblPos val="outEnd"/>
          <c:showLegendKey val="0"/>
          <c:showVal val="1"/>
          <c:showCatName val="0"/>
          <c:showSerName val="0"/>
          <c:showPercent val="0"/>
          <c:showBubbleSize val="0"/>
        </c:dLbls>
        <c:gapWidth val="100"/>
        <c:overlap val="-24"/>
        <c:axId val="393372272"/>
        <c:axId val="393361936"/>
        <c:extLst>
          <c:ext xmlns:c15="http://schemas.microsoft.com/office/drawing/2012/chart" uri="{02D57815-91ED-43cb-92C2-25804820EDAC}">
            <c15:filteredBarSeries>
              <c15:ser>
                <c:idx val="0"/>
                <c:order val="0"/>
                <c:tx>
                  <c:strRef>
                    <c:extLst>
                      <c:ext uri="{02D57815-91ED-43cb-92C2-25804820EDAC}">
                        <c15:formulaRef>
                          <c15:sqref>Graphs!$A$314</c15:sqref>
                        </c15:formulaRef>
                      </c:ext>
                    </c:extLst>
                    <c:strCache>
                      <c:ptCount val="1"/>
                      <c:pt idx="0">
                        <c:v>TSD+1: Attention BV the RMO</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Graphs!$B$313:$N$313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Graphs!$B$314:$N$314</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Graphs!$A$317</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Graphs!$B$313:$N$313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Graphs!$B$317:$N$317</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9097-43EF-B9A6-B80E04A9D25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Graphs!$A$318</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Graphs!$B$313:$N$313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Graphs!$B$318:$N$318</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9097-43EF-B9A6-B80E04A9D25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Graphs!$A$319</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Graphs!$B$313:$N$313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Graphs!$B$319:$N$319</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9097-43EF-B9A6-B80E04A9D256}"/>
                  </c:ext>
                </c:extLst>
              </c15:ser>
            </c15:filteredBarSeries>
          </c:ext>
        </c:extLst>
      </c:barChart>
      <c:dateAx>
        <c:axId val="393372272"/>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61936"/>
        <c:crosses val="autoZero"/>
        <c:auto val="1"/>
        <c:lblOffset val="100"/>
        <c:baseTimeUnit val="months"/>
      </c:dateAx>
      <c:valAx>
        <c:axId val="393361936"/>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72272"/>
        <c:crosses val="autoZero"/>
        <c:crossBetween val="between"/>
        <c:majorUnit val="0.1"/>
      </c:valAx>
      <c:spPr>
        <a:noFill/>
        <a:ln>
          <a:noFill/>
        </a:ln>
        <a:effectLst/>
      </c:spPr>
    </c:plotArea>
    <c:legend>
      <c:legendPos val="b"/>
      <c:layout>
        <c:manualLayout>
          <c:xMode val="edge"/>
          <c:yMode val="edge"/>
          <c:x val="0.12174445450955798"/>
          <c:y val="0.91005191017789444"/>
          <c:w val="0.40778697905781425"/>
          <c:h val="7.2534356803078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TED-1: Satisfaction with Centre Manager</a:t>
            </a:r>
            <a:r>
              <a:rPr lang="en-IN" sz="1600" b="1" i="0" u="none" strike="noStrike" baseline="0"/>
              <a:t>  </a:t>
            </a:r>
            <a:endParaRPr lang="en-IN" b="0"/>
          </a:p>
        </c:rich>
      </c:tx>
      <c:layout>
        <c:manualLayout>
          <c:xMode val="edge"/>
          <c:yMode val="edge"/>
          <c:x val="0.28099155477466142"/>
          <c:y val="4.249937809998121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Graphs!$A$371</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0311935228704883E-2"/>
                  <c:y val="8.359456635318665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2296-4D53-9901-B09B95BC596D}"/>
                </c:ext>
              </c:extLst>
            </c:dLbl>
            <c:dLbl>
              <c:idx val="2"/>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2296-4D53-9901-B09B95BC596D}"/>
                </c:ext>
              </c:extLst>
            </c:dLbl>
            <c:dLbl>
              <c:idx val="3"/>
              <c:layout>
                <c:manualLayout>
                  <c:x val="8.2495481829639363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2296-4D53-9901-B09B95BC596D}"/>
                </c:ext>
              </c:extLst>
            </c:dLbl>
            <c:dLbl>
              <c:idx val="4"/>
              <c:layout>
                <c:manualLayout>
                  <c:x val="6.1871611372228763E-3"/>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2296-4D53-9901-B09B95BC596D}"/>
                </c:ext>
              </c:extLst>
            </c:dLbl>
            <c:dLbl>
              <c:idx val="7"/>
              <c:layout>
                <c:manualLayout>
                  <c:x val="6.1871611372229518E-3"/>
                  <c:y val="-7.6627467283380521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2296-4D53-9901-B09B95BC596D}"/>
                </c:ext>
              </c:extLst>
            </c:dLbl>
            <c:dLbl>
              <c:idx val="8"/>
              <c:layout>
                <c:manualLayout>
                  <c:x val="1.0311935228704768E-2"/>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2296-4D53-9901-B09B95BC596D}"/>
                </c:ext>
              </c:extLst>
            </c:dLbl>
            <c:dLbl>
              <c:idx val="9"/>
              <c:layout>
                <c:manualLayout>
                  <c:x val="1.4436709320186737E-2"/>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2296-4D53-9901-B09B95BC596D}"/>
                </c:ext>
              </c:extLst>
            </c:dLbl>
            <c:dLbl>
              <c:idx val="10"/>
              <c:layout>
                <c:manualLayout>
                  <c:x val="1.1670578588688437E-2"/>
                  <c:y val="1.0840105316886721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2296-4D53-9901-B09B95BC596D}"/>
                </c:ext>
              </c:extLst>
            </c:dLbl>
            <c:dLbl>
              <c:idx val="11"/>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2296-4D53-9901-B09B95BC59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Graphs!$B$369:$N$369</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Graphs!$B$371:$N$371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Graphs!$A$372</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6.8493150684931295E-3"/>
                  <c:y val="8.59660434128511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96-4B36-A2B6-A5EAA0CF1604}"/>
                </c:ext>
              </c:extLst>
            </c:dLbl>
            <c:dLbl>
              <c:idx val="10"/>
              <c:layout>
                <c:manualLayout>
                  <c:x val="1.1415525114155251E-2"/>
                  <c:y val="1.2894906511927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196-4B36-A2B6-A5EAA0CF16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Graphs!$B$369:$N$369</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Graphs!$B$372:$N$372</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E107-4D17-8728-4728E63E23CA}"/>
            </c:ext>
          </c:extLst>
        </c:ser>
        <c:dLbls>
          <c:dLblPos val="outEnd"/>
          <c:showLegendKey val="0"/>
          <c:showVal val="1"/>
          <c:showCatName val="0"/>
          <c:showSerName val="0"/>
          <c:showPercent val="0"/>
          <c:showBubbleSize val="0"/>
        </c:dLbls>
        <c:gapWidth val="100"/>
        <c:overlap val="-24"/>
        <c:axId val="393376080"/>
        <c:axId val="393373904"/>
        <c:extLst>
          <c:ext xmlns:c15="http://schemas.microsoft.com/office/drawing/2012/chart" uri="{02D57815-91ED-43cb-92C2-25804820EDAC}">
            <c15:filteredBarSeries>
              <c15:ser>
                <c:idx val="0"/>
                <c:order val="0"/>
                <c:tx>
                  <c:strRef>
                    <c:extLst>
                      <c:ext uri="{02D57815-91ED-43cb-92C2-25804820EDAC}">
                        <c15:formulaRef>
                          <c15:sqref>Graphs!$A$370</c15:sqref>
                        </c15:formulaRef>
                      </c:ext>
                    </c:extLst>
                    <c:strCache>
                      <c:ptCount val="1"/>
                      <c:pt idx="0">
                        <c:v>TED-1: Satisfaction with CBntre Manager</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Graphs!$B$369:$N$369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Graphs!$B$370:$N$370</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Graphs!$A$373</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Graphs!$B$369:$N$369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Graphs!$B$373:$N$373</c15:sqref>
                        </c15:formulaRef>
                      </c:ext>
                    </c:extLst>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5="http://schemas.microsoft.com/office/drawing/2012/chart">
                  <c:ext xmlns:c16="http://schemas.microsoft.com/office/drawing/2014/chart" uri="{C3380CC4-5D6E-409C-BE32-E72D297353CC}">
                    <c16:uniqueId val="{0000000E-E107-4D17-8728-4728E63E23C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Graphs!$A$374</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Graphs!$B$369:$N$369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Graphs!$B$374:$N$374</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E107-4D17-8728-4728E63E23C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Graphs!$A$375</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Graphs!$B$369:$N$369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Graphs!$B$375:$N$375</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E107-4D17-8728-4728E63E23CA}"/>
                  </c:ext>
                </c:extLst>
              </c15:ser>
            </c15:filteredBarSeries>
          </c:ext>
        </c:extLst>
      </c:barChart>
      <c:dateAx>
        <c:axId val="393376080"/>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73904"/>
        <c:crosses val="autoZero"/>
        <c:auto val="1"/>
        <c:lblOffset val="100"/>
        <c:baseTimeUnit val="months"/>
      </c:dateAx>
      <c:valAx>
        <c:axId val="393373904"/>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76080"/>
        <c:crosses val="autoZero"/>
        <c:crossBetween val="between"/>
        <c:majorUnit val="0.1"/>
      </c:valAx>
      <c:spPr>
        <a:noFill/>
        <a:ln>
          <a:noFill/>
        </a:ln>
        <a:effectLst/>
      </c:spPr>
    </c:plotArea>
    <c:legend>
      <c:legendPos val="b"/>
      <c:layout>
        <c:manualLayout>
          <c:xMode val="edge"/>
          <c:yMode val="edge"/>
          <c:x val="0.24348911448052465"/>
          <c:y val="0.91435006794363449"/>
          <c:w val="0.40736571151746526"/>
          <c:h val="7.2534356803078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TED-1: Satisfaction with AyurVAID Reception Team</a:t>
            </a:r>
            <a:r>
              <a:rPr lang="en-IN" sz="1600" b="1" i="0" u="none" strike="noStrike" baseline="0"/>
              <a:t> </a:t>
            </a:r>
            <a:endParaRPr lang="en-IN" b="0"/>
          </a:p>
        </c:rich>
      </c:tx>
      <c:layout>
        <c:manualLayout>
          <c:xMode val="edge"/>
          <c:yMode val="edge"/>
          <c:x val="0.13015176642742665"/>
          <c:y val="3.011563183085087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0567871740490642"/>
          <c:w val="0.92845488691423617"/>
          <c:h val="0.54657934424863563"/>
        </c:manualLayout>
      </c:layout>
      <c:barChart>
        <c:barDir val="col"/>
        <c:grouping val="clustered"/>
        <c:varyColors val="0"/>
        <c:ser>
          <c:idx val="1"/>
          <c:order val="1"/>
          <c:tx>
            <c:strRef>
              <c:f>Graphs!$A$379</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0311935228704883E-2"/>
                  <c:y val="8.359456635318665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1301-4B74-876F-B5F6AC3BCCE5}"/>
                </c:ext>
              </c:extLst>
            </c:dLbl>
            <c:dLbl>
              <c:idx val="2"/>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1301-4B74-876F-B5F6AC3BCCE5}"/>
                </c:ext>
              </c:extLst>
            </c:dLbl>
            <c:dLbl>
              <c:idx val="3"/>
              <c:layout>
                <c:manualLayout>
                  <c:x val="-5.5008936877046855E-3"/>
                  <c:y val="-1.7193208682570384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1301-4B74-876F-B5F6AC3BCCE5}"/>
                </c:ext>
              </c:extLst>
            </c:dLbl>
            <c:dLbl>
              <c:idx val="4"/>
              <c:layout>
                <c:manualLayout>
                  <c:x val="-2.9798011240345541E-3"/>
                  <c:y val="-4.179845024207563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1301-4B74-876F-B5F6AC3BCCE5}"/>
                </c:ext>
              </c:extLst>
            </c:dLbl>
            <c:dLbl>
              <c:idx val="6"/>
              <c:layout>
                <c:manualLayout>
                  <c:x val="-9.1669531339521031E-3"/>
                  <c:y val="4.29830217064251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F2-442B-BE7F-00B564AB8CCA}"/>
                </c:ext>
              </c:extLst>
            </c:dLbl>
            <c:dLbl>
              <c:idx val="7"/>
              <c:layout>
                <c:manualLayout>
                  <c:x val="-2.97980112403447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1301-4B74-876F-B5F6AC3BCCE5}"/>
                </c:ext>
              </c:extLst>
            </c:dLbl>
            <c:dLbl>
              <c:idx val="8"/>
              <c:layout>
                <c:manualLayout>
                  <c:x val="-3.4385096843988503E-3"/>
                  <c:y val="4.2983021706425959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1301-4B74-876F-B5F6AC3BCCE5}"/>
                </c:ext>
              </c:extLst>
            </c:dLbl>
            <c:dLbl>
              <c:idx val="9"/>
              <c:layout>
                <c:manualLayout>
                  <c:x val="6.8625832221298907E-4"/>
                  <c:y val="4.179845024207563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1301-4B74-876F-B5F6AC3BCCE5}"/>
                </c:ext>
              </c:extLst>
            </c:dLbl>
            <c:dLbl>
              <c:idx val="10"/>
              <c:layout>
                <c:manualLayout>
                  <c:x val="1.1670578588688437E-2"/>
                  <c:y val="1.0840105316886721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1301-4B74-876F-B5F6AC3BCCE5}"/>
                </c:ext>
              </c:extLst>
            </c:dLbl>
            <c:dLbl>
              <c:idx val="11"/>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1301-4B74-876F-B5F6AC3BCC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Graphs!$B$377:$N$377</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Graphs!$B$379:$N$379</c:f>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Graphs!$A$380</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9.1669531339521031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F2-442B-BE7F-00B564AB8CCA}"/>
                </c:ext>
              </c:extLst>
            </c:dLbl>
            <c:dLbl>
              <c:idx val="10"/>
              <c:layout>
                <c:manualLayout>
                  <c:x val="0"/>
                  <c:y val="-3.00881151944981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301-4B74-876F-B5F6AC3BCC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Graphs!$B$377:$N$377</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Graphs!$B$380:$N$380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B772-4531-86FD-9E91104A5737}"/>
            </c:ext>
          </c:extLst>
        </c:ser>
        <c:dLbls>
          <c:dLblPos val="outEnd"/>
          <c:showLegendKey val="0"/>
          <c:showVal val="1"/>
          <c:showCatName val="0"/>
          <c:showSerName val="0"/>
          <c:showPercent val="0"/>
          <c:showBubbleSize val="0"/>
        </c:dLbls>
        <c:gapWidth val="100"/>
        <c:overlap val="-24"/>
        <c:axId val="393371728"/>
        <c:axId val="393374992"/>
        <c:extLst>
          <c:ext xmlns:c15="http://schemas.microsoft.com/office/drawing/2012/chart" uri="{02D57815-91ED-43cb-92C2-25804820EDAC}">
            <c15:filteredBarSeries>
              <c15:ser>
                <c:idx val="0"/>
                <c:order val="0"/>
                <c:tx>
                  <c:strRef>
                    <c:extLst>
                      <c:ext uri="{02D57815-91ED-43cb-92C2-25804820EDAC}">
                        <c15:formulaRef>
                          <c15:sqref>Graphs!$A$378</c15:sqref>
                        </c15:formulaRef>
                      </c:ext>
                    </c:extLst>
                    <c:strCache>
                      <c:ptCount val="1"/>
                      <c:pt idx="0">
                        <c:v>TED-1: Satisfaction with AyurVAID ReCBption Team</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Graphs!$B$377:$N$377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Graphs!$B$378:$N$378</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Graphs!$A$381</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Graphs!$B$377:$N$377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Graphs!$B$381:$N$381</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B772-4531-86FD-9E91104A573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Graphs!$A$382</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Graphs!$B$377:$N$377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Graphs!$B$382:$N$382</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B772-4531-86FD-9E91104A573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Graphs!$A$383</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Graphs!$B$377:$N$377</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Graphs!$B$383:$N$383</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B772-4531-86FD-9E91104A5737}"/>
                  </c:ext>
                </c:extLst>
              </c15:ser>
            </c15:filteredBarSeries>
          </c:ext>
        </c:extLst>
      </c:barChart>
      <c:dateAx>
        <c:axId val="393371728"/>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74992"/>
        <c:crosses val="autoZero"/>
        <c:auto val="1"/>
        <c:lblOffset val="100"/>
        <c:baseTimeUnit val="months"/>
      </c:dateAx>
      <c:valAx>
        <c:axId val="393374992"/>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71728"/>
        <c:crosses val="autoZero"/>
        <c:crossBetween val="between"/>
        <c:majorUnit val="0.1"/>
      </c:valAx>
      <c:spPr>
        <a:noFill/>
        <a:ln>
          <a:noFill/>
        </a:ln>
        <a:effectLst/>
      </c:spPr>
    </c:plotArea>
    <c:legend>
      <c:legendPos val="b"/>
      <c:layout>
        <c:manualLayout>
          <c:xMode val="edge"/>
          <c:yMode val="edge"/>
          <c:x val="0.12174445450955798"/>
          <c:y val="0.91005191017789444"/>
          <c:w val="0.40778697905781425"/>
          <c:h val="7.2534356803078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TED-1: Satisfaction with Pharmacy and Billing Team</a:t>
            </a:r>
            <a:r>
              <a:rPr lang="en-IN" sz="1600" b="1" i="0" u="none" strike="noStrike" baseline="0"/>
              <a:t> </a:t>
            </a:r>
            <a:endParaRPr lang="en-IN" b="0"/>
          </a:p>
        </c:rich>
      </c:tx>
      <c:layout>
        <c:manualLayout>
          <c:xMode val="edge"/>
          <c:yMode val="edge"/>
          <c:x val="0.13015176642742665"/>
          <c:y val="3.011563183085087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Graphs!$A$387</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0311935228704883E-2"/>
                  <c:y val="8.359456635318665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5EB5-478B-A717-4B49341E6BCF}"/>
                </c:ext>
              </c:extLst>
            </c:dLbl>
            <c:dLbl>
              <c:idx val="2"/>
              <c:layout>
                <c:manualLayout>
                  <c:x val="-6.6210045662100456E-4"/>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5EB5-478B-A717-4B49341E6BCF}"/>
                </c:ext>
              </c:extLst>
            </c:dLbl>
            <c:dLbl>
              <c:idx val="3"/>
              <c:layout>
                <c:manualLayout>
                  <c:x val="-5.4490705785064123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5EB5-478B-A717-4B49341E6BCF}"/>
                </c:ext>
              </c:extLst>
            </c:dLbl>
            <c:dLbl>
              <c:idx val="4"/>
              <c:layout>
                <c:manualLayout>
                  <c:x val="6.1871611372228763E-3"/>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5EB5-478B-A717-4B49341E6BCF}"/>
                </c:ext>
              </c:extLst>
            </c:dLbl>
            <c:dLbl>
              <c:idx val="6"/>
              <c:layout>
                <c:manualLayout>
                  <c:x val="-9.1324200913242854E-3"/>
                  <c:y val="1.28949065119277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9-4104-8C6C-4B0F5E2DD993}"/>
                </c:ext>
              </c:extLst>
            </c:dLbl>
            <c:dLbl>
              <c:idx val="7"/>
              <c:layout>
                <c:manualLayout>
                  <c:x val="6.1871611372229518E-3"/>
                  <c:y val="-7.6627467283380521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5EB5-478B-A717-4B49341E6BCF}"/>
                </c:ext>
              </c:extLst>
            </c:dLbl>
            <c:dLbl>
              <c:idx val="8"/>
              <c:layout>
                <c:manualLayout>
                  <c:x val="1.0311935228704768E-2"/>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5EB5-478B-A717-4B49341E6BCF}"/>
                </c:ext>
              </c:extLst>
            </c:dLbl>
            <c:dLbl>
              <c:idx val="9"/>
              <c:layout>
                <c:manualLayout>
                  <c:x val="1.4436709320186737E-2"/>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5EB5-478B-A717-4B49341E6BCF}"/>
                </c:ext>
              </c:extLst>
            </c:dLbl>
            <c:dLbl>
              <c:idx val="10"/>
              <c:layout>
                <c:manualLayout>
                  <c:x val="1.1670578588688437E-2"/>
                  <c:y val="1.0840105316886721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5EB5-478B-A717-4B49341E6BCF}"/>
                </c:ext>
              </c:extLst>
            </c:dLbl>
            <c:dLbl>
              <c:idx val="11"/>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5EB5-478B-A717-4B49341E6B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Graphs!$B$385:$N$385</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Graphs!$B$387:$N$387</c:f>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Graphs!$A$388</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6.8493150684931295E-3"/>
                  <c:y val="4.29830217064251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9-4104-8C6C-4B0F5E2DD993}"/>
                </c:ext>
              </c:extLst>
            </c:dLbl>
            <c:dLbl>
              <c:idx val="10"/>
              <c:layout>
                <c:manualLayout>
                  <c:x val="1.1415525114155251E-2"/>
                  <c:y val="4.29830217064251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9-4104-8C6C-4B0F5E2DD9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Graphs!$B$385:$N$385</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Graphs!$B$388:$N$388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5A51-4A03-B422-F4ABDFB68FFC}"/>
            </c:ext>
          </c:extLst>
        </c:ser>
        <c:dLbls>
          <c:dLblPos val="outEnd"/>
          <c:showLegendKey val="0"/>
          <c:showVal val="1"/>
          <c:showCatName val="0"/>
          <c:showSerName val="0"/>
          <c:showPercent val="0"/>
          <c:showBubbleSize val="0"/>
        </c:dLbls>
        <c:gapWidth val="100"/>
        <c:overlap val="-24"/>
        <c:axId val="393364656"/>
        <c:axId val="393365200"/>
        <c:extLst>
          <c:ext xmlns:c15="http://schemas.microsoft.com/office/drawing/2012/chart" uri="{02D57815-91ED-43cb-92C2-25804820EDAC}">
            <c15:filteredBarSeries>
              <c15:ser>
                <c:idx val="0"/>
                <c:order val="0"/>
                <c:tx>
                  <c:strRef>
                    <c:extLst>
                      <c:ext uri="{02D57815-91ED-43cb-92C2-25804820EDAC}">
                        <c15:formulaRef>
                          <c15:sqref>Graphs!$A$386</c15:sqref>
                        </c15:formulaRef>
                      </c:ext>
                    </c:extLst>
                    <c:strCache>
                      <c:ptCount val="1"/>
                      <c:pt idx="0">
                        <c:v>TED-1: Satisfaction with Pharmacy and Billing Team</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Graphs!$B$385:$N$385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Graphs!$B$386:$N$386</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Graphs!$A$389</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Graphs!$B$385:$N$385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Graphs!$B$389:$N$389</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5A51-4A03-B422-F4ABDFB68FFC}"/>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Graphs!$A$390</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Graphs!$B$385:$N$385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Graphs!$B$390:$N$390</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5A51-4A03-B422-F4ABDFB68FFC}"/>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Graphs!$A$391</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Graphs!$B$385:$N$385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Graphs!$B$391:$N$391</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5A51-4A03-B422-F4ABDFB68FFC}"/>
                  </c:ext>
                </c:extLst>
              </c15:ser>
            </c15:filteredBarSeries>
          </c:ext>
        </c:extLst>
      </c:barChart>
      <c:dateAx>
        <c:axId val="393364656"/>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65200"/>
        <c:crosses val="autoZero"/>
        <c:auto val="1"/>
        <c:lblOffset val="100"/>
        <c:baseTimeUnit val="months"/>
      </c:dateAx>
      <c:valAx>
        <c:axId val="393365200"/>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64656"/>
        <c:crosses val="autoZero"/>
        <c:crossBetween val="between"/>
        <c:majorUnit val="0.1"/>
      </c:valAx>
      <c:spPr>
        <a:noFill/>
        <a:ln>
          <a:noFill/>
        </a:ln>
        <a:effectLst/>
      </c:spPr>
    </c:plotArea>
    <c:legend>
      <c:legendPos val="b"/>
      <c:layout>
        <c:manualLayout>
          <c:xMode val="edge"/>
          <c:yMode val="edge"/>
          <c:x val="0.12174445450955798"/>
          <c:y val="0.91005191017789444"/>
          <c:w val="0.40736571151746526"/>
          <c:h val="7.2534356803078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TED-1: Satisfaction with ease of lodging complaints</a:t>
            </a:r>
            <a:r>
              <a:rPr lang="en-IN" sz="1600" b="1" i="0" u="none" strike="noStrike" baseline="0"/>
              <a:t> </a:t>
            </a:r>
            <a:endParaRPr lang="en-IN" b="0"/>
          </a:p>
        </c:rich>
      </c:tx>
      <c:layout>
        <c:manualLayout>
          <c:xMode val="edge"/>
          <c:yMode val="edge"/>
          <c:x val="0.13015176642742665"/>
          <c:y val="3.011563183085087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Graphs!$A$395</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0311935228704883E-2"/>
                  <c:y val="8.359456635318665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0FFA-4409-A1AA-A20F92C41D45}"/>
                </c:ext>
              </c:extLst>
            </c:dLbl>
            <c:dLbl>
              <c:idx val="2"/>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0FFA-4409-A1AA-A20F92C41D45}"/>
                </c:ext>
              </c:extLst>
            </c:dLbl>
            <c:dLbl>
              <c:idx val="3"/>
              <c:layout>
                <c:manualLayout>
                  <c:x val="8.2495481829639363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0FFA-4409-A1AA-A20F92C41D45}"/>
                </c:ext>
              </c:extLst>
            </c:dLbl>
            <c:dLbl>
              <c:idx val="4"/>
              <c:layout>
                <c:manualLayout>
                  <c:x val="6.1871611372228763E-3"/>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0FFA-4409-A1AA-A20F92C41D45}"/>
                </c:ext>
              </c:extLst>
            </c:dLbl>
            <c:dLbl>
              <c:idx val="7"/>
              <c:layout>
                <c:manualLayout>
                  <c:x val="-5.2715394075224953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0FFA-4409-A1AA-A20F92C41D45}"/>
                </c:ext>
              </c:extLst>
            </c:dLbl>
            <c:dLbl>
              <c:idx val="8"/>
              <c:layout>
                <c:manualLayout>
                  <c:x val="-3.4385096843988503E-3"/>
                  <c:y val="4.298302170642517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0FFA-4409-A1AA-A20F92C41D45}"/>
                </c:ext>
              </c:extLst>
            </c:dLbl>
            <c:dLbl>
              <c:idx val="9"/>
              <c:layout>
                <c:manualLayout>
                  <c:x val="6.8625832221298907E-4"/>
                  <c:y val="4.179845024207563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0FFA-4409-A1AA-A20F92C41D45}"/>
                </c:ext>
              </c:extLst>
            </c:dLbl>
            <c:dLbl>
              <c:idx val="10"/>
              <c:layout>
                <c:manualLayout>
                  <c:x val="1.1670578588688437E-2"/>
                  <c:y val="1.0840105316886721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0FFA-4409-A1AA-A20F92C41D45}"/>
                </c:ext>
              </c:extLst>
            </c:dLbl>
            <c:dLbl>
              <c:idx val="11"/>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0FFA-4409-A1AA-A20F92C41D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Graphs!$B$393:$N$393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Graphs!$B$395:$N$395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Graphs!$A$396</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6.8752148504640769E-3"/>
                  <c:y val="4.29830217064251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38-4D79-8778-63C8D8D6EFDF}"/>
                </c:ext>
              </c:extLst>
            </c:dLbl>
            <c:dLbl>
              <c:idx val="10"/>
              <c:layout>
                <c:manualLayout>
                  <c:x val="9.1669531339521031E-3"/>
                  <c:y val="8.59660434128511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38-4D79-8778-63C8D8D6EF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Graphs!$B$393:$N$393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Graphs!$B$396:$N$396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3998-4CE5-8C23-A903F0F624E8}"/>
            </c:ext>
          </c:extLst>
        </c:ser>
        <c:dLbls>
          <c:dLblPos val="outEnd"/>
          <c:showLegendKey val="0"/>
          <c:showVal val="1"/>
          <c:showCatName val="0"/>
          <c:showSerName val="0"/>
          <c:showPercent val="0"/>
          <c:showBubbleSize val="0"/>
        </c:dLbls>
        <c:gapWidth val="100"/>
        <c:overlap val="-24"/>
        <c:axId val="393369552"/>
        <c:axId val="393367920"/>
        <c:extLst>
          <c:ext xmlns:c15="http://schemas.microsoft.com/office/drawing/2012/chart" uri="{02D57815-91ED-43cb-92C2-25804820EDAC}">
            <c15:filteredBarSeries>
              <c15:ser>
                <c:idx val="0"/>
                <c:order val="0"/>
                <c:tx>
                  <c:strRef>
                    <c:extLst>
                      <c:ext uri="{02D57815-91ED-43cb-92C2-25804820EDAC}">
                        <c15:formulaRef>
                          <c15:sqref>Graphs!$A$394</c15:sqref>
                        </c15:formulaRef>
                      </c:ext>
                    </c:extLst>
                    <c:strCache>
                      <c:ptCount val="1"/>
                      <c:pt idx="0">
                        <c:v>TED-1: Satisfaction with ease of lodging complaints</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Graphs!$B$393:$N$393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Graphs!$B$394:$N$394</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Graphs!$A$397</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Graphs!$B$393:$N$393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Graphs!$B$397:$N$397</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3998-4CE5-8C23-A903F0F624E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Graphs!$A$398</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Graphs!$B$393:$N$393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Graphs!$B$398:$N$398</c15:sqref>
                        </c15:formulaRef>
                      </c:ext>
                    </c:extLst>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5="http://schemas.microsoft.com/office/drawing/2012/chart">
                  <c:ext xmlns:c16="http://schemas.microsoft.com/office/drawing/2014/chart" uri="{C3380CC4-5D6E-409C-BE32-E72D297353CC}">
                    <c16:uniqueId val="{0000000F-3998-4CE5-8C23-A903F0F624E8}"/>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Graphs!$A$399</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Graphs!$B$393:$N$393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Graphs!$B$399:$N$399</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3998-4CE5-8C23-A903F0F624E8}"/>
                  </c:ext>
                </c:extLst>
              </c15:ser>
            </c15:filteredBarSeries>
          </c:ext>
        </c:extLst>
      </c:barChart>
      <c:dateAx>
        <c:axId val="393369552"/>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67920"/>
        <c:crosses val="autoZero"/>
        <c:auto val="1"/>
        <c:lblOffset val="100"/>
        <c:baseTimeUnit val="months"/>
      </c:dateAx>
      <c:valAx>
        <c:axId val="393367920"/>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69552"/>
        <c:crosses val="autoZero"/>
        <c:crossBetween val="between"/>
        <c:majorUnit val="0.1"/>
      </c:valAx>
      <c:spPr>
        <a:noFill/>
        <a:ln>
          <a:noFill/>
        </a:ln>
        <a:effectLst/>
      </c:spPr>
    </c:plotArea>
    <c:legend>
      <c:legendPos val="b"/>
      <c:layout>
        <c:manualLayout>
          <c:xMode val="edge"/>
          <c:yMode val="edge"/>
          <c:x val="0.12174445450955798"/>
          <c:y val="0.91005191017789444"/>
          <c:w val="0.40778697905781425"/>
          <c:h val="7.2534356803078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TED-1: Satisfaction with effective resolution of complaints lodged</a:t>
            </a:r>
            <a:r>
              <a:rPr lang="en-IN" sz="1600" b="1" i="0" u="none" strike="noStrike" baseline="0"/>
              <a:t> </a:t>
            </a:r>
            <a:endParaRPr lang="en-IN" b="0"/>
          </a:p>
        </c:rich>
      </c:tx>
      <c:layout>
        <c:manualLayout>
          <c:xMode val="edge"/>
          <c:yMode val="edge"/>
          <c:x val="0.13015176642742665"/>
          <c:y val="3.011563183085087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8666494057681863"/>
          <c:w val="0.92845488691423617"/>
          <c:h val="0.48210467888805969"/>
        </c:manualLayout>
      </c:layout>
      <c:barChart>
        <c:barDir val="col"/>
        <c:grouping val="clustered"/>
        <c:varyColors val="0"/>
        <c:ser>
          <c:idx val="1"/>
          <c:order val="1"/>
          <c:tx>
            <c:strRef>
              <c:f>Graphs!$A$403</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0311935228704883E-2"/>
                  <c:y val="8.359456635318665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DF8F-4947-9FEB-9CBA614A829A}"/>
                </c:ext>
              </c:extLst>
            </c:dLbl>
            <c:dLbl>
              <c:idx val="2"/>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DF8F-4947-9FEB-9CBA614A829A}"/>
                </c:ext>
              </c:extLst>
            </c:dLbl>
            <c:dLbl>
              <c:idx val="3"/>
              <c:layout>
                <c:manualLayout>
                  <c:x val="8.2495481829639363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DF8F-4947-9FEB-9CBA614A829A}"/>
                </c:ext>
              </c:extLst>
            </c:dLbl>
            <c:dLbl>
              <c:idx val="4"/>
              <c:layout>
                <c:manualLayout>
                  <c:x val="6.1871611372228763E-3"/>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DF8F-4947-9FEB-9CBA614A829A}"/>
                </c:ext>
              </c:extLst>
            </c:dLbl>
            <c:dLbl>
              <c:idx val="7"/>
              <c:layout>
                <c:manualLayout>
                  <c:x val="6.1871611372229518E-3"/>
                  <c:y val="-7.6627467283380521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DF8F-4947-9FEB-9CBA614A829A}"/>
                </c:ext>
              </c:extLst>
            </c:dLbl>
            <c:dLbl>
              <c:idx val="8"/>
              <c:layout>
                <c:manualLayout>
                  <c:x val="1.0311935228704768E-2"/>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DF8F-4947-9FEB-9CBA614A829A}"/>
                </c:ext>
              </c:extLst>
            </c:dLbl>
            <c:dLbl>
              <c:idx val="9"/>
              <c:layout>
                <c:manualLayout>
                  <c:x val="1.4436709320186737E-2"/>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DF8F-4947-9FEB-9CBA614A829A}"/>
                </c:ext>
              </c:extLst>
            </c:dLbl>
            <c:dLbl>
              <c:idx val="10"/>
              <c:layout>
                <c:manualLayout>
                  <c:x val="1.1670578588688437E-2"/>
                  <c:y val="1.0840105316886721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DF8F-4947-9FEB-9CBA614A829A}"/>
                </c:ext>
              </c:extLst>
            </c:dLbl>
            <c:dLbl>
              <c:idx val="11"/>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DF8F-4947-9FEB-9CBA614A82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Graphs!$B$401:$N$401</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Graphs!$B$403:$N$403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F15-4373-9BE3-E4542FFA4BF1}"/>
            </c:ext>
          </c:extLst>
        </c:ser>
        <c:ser>
          <c:idx val="2"/>
          <c:order val="2"/>
          <c:tx>
            <c:strRef>
              <c:f>Graphs!$A$404</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6.8493150684931295E-3"/>
                  <c:y val="8.59660434128511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ED-4589-92F0-4DB247A600DE}"/>
                </c:ext>
              </c:extLst>
            </c:dLbl>
            <c:dLbl>
              <c:idx val="10"/>
              <c:layout>
                <c:manualLayout>
                  <c:x val="1.3698630136986134E-2"/>
                  <c:y val="8.59660434128511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2ED-4589-92F0-4DB247A600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Graphs!$B$401:$N$401</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Graphs!$B$404:$N$404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B8B4-4FBF-9B02-6BD993320C9A}"/>
            </c:ext>
          </c:extLst>
        </c:ser>
        <c:dLbls>
          <c:dLblPos val="outEnd"/>
          <c:showLegendKey val="0"/>
          <c:showVal val="1"/>
          <c:showCatName val="0"/>
          <c:showSerName val="0"/>
          <c:showPercent val="0"/>
          <c:showBubbleSize val="0"/>
        </c:dLbls>
        <c:gapWidth val="100"/>
        <c:overlap val="-24"/>
        <c:axId val="393371184"/>
        <c:axId val="393364112"/>
        <c:extLst>
          <c:ext xmlns:c15="http://schemas.microsoft.com/office/drawing/2012/chart" uri="{02D57815-91ED-43cb-92C2-25804820EDAC}">
            <c15:filteredBarSeries>
              <c15:ser>
                <c:idx val="0"/>
                <c:order val="0"/>
                <c:tx>
                  <c:strRef>
                    <c:extLst>
                      <c:ext uri="{02D57815-91ED-43cb-92C2-25804820EDAC}">
                        <c15:formulaRef>
                          <c15:sqref>Graphs!$A$402</c15:sqref>
                        </c15:formulaRef>
                      </c:ext>
                    </c:extLst>
                    <c:strCache>
                      <c:ptCount val="1"/>
                      <c:pt idx="0">
                        <c:v>TED-1: Satisfaction with effective resolution of complaints lodged</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Graphs!$B$401:$N$401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Graphs!$B$402:$N$402</c15:sqref>
                        </c15:formulaRef>
                      </c:ext>
                    </c:extLst>
                    <c:numCache>
                      <c:formatCode>General</c:formatCode>
                      <c:ptCount val="12"/>
                    </c:numCache>
                  </c:numRef>
                </c:val>
                <c:extLst>
                  <c:ext xmlns:c16="http://schemas.microsoft.com/office/drawing/2014/chart" uri="{C3380CC4-5D6E-409C-BE32-E72D297353CC}">
                    <c16:uniqueId val="{00000000-1F15-4373-9BE3-E4542FFA4BF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Graphs!$A$405</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Graphs!$B$401:$N$401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Graphs!$B$405:$N$405</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B8B4-4FBF-9B02-6BD993320C9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Graphs!$A$406</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Graphs!$B$401:$N$401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Graphs!$B$406:$N$406</c15:sqref>
                        </c15:formulaRef>
                      </c:ext>
                    </c:extLst>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xmlns:c15="http://schemas.microsoft.com/office/drawing/2012/chart">
                  <c:ext xmlns:c16="http://schemas.microsoft.com/office/drawing/2014/chart" uri="{C3380CC4-5D6E-409C-BE32-E72D297353CC}">
                    <c16:uniqueId val="{0000000F-B8B4-4FBF-9B02-6BD993320C9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Graphs!$A$407</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Graphs!$B$401:$N$401</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Graphs!$B$407:$N$407</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B8B4-4FBF-9B02-6BD993320C9A}"/>
                  </c:ext>
                </c:extLst>
              </c15:ser>
            </c15:filteredBarSeries>
          </c:ext>
        </c:extLst>
      </c:barChart>
      <c:dateAx>
        <c:axId val="393371184"/>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64112"/>
        <c:crosses val="autoZero"/>
        <c:auto val="1"/>
        <c:lblOffset val="100"/>
        <c:baseTimeUnit val="months"/>
      </c:dateAx>
      <c:valAx>
        <c:axId val="393364112"/>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71184"/>
        <c:crosses val="autoZero"/>
        <c:crossBetween val="between"/>
        <c:majorUnit val="0.1"/>
      </c:valAx>
      <c:spPr>
        <a:noFill/>
        <a:ln>
          <a:noFill/>
        </a:ln>
        <a:effectLst/>
      </c:spPr>
    </c:plotArea>
    <c:legend>
      <c:legendPos val="b"/>
      <c:layout>
        <c:manualLayout>
          <c:xMode val="edge"/>
          <c:yMode val="edge"/>
          <c:x val="0.12174445450955798"/>
          <c:y val="0.91005191017789444"/>
          <c:w val="0.40736571151746526"/>
          <c:h val="7.2534356803078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Satisfaction with clarity of treatment Obgectives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1"/>
          <c:tx>
            <c:strRef>
              <c:f>Graphs!$A$218</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5"/>
              <c:layout>
                <c:manualLayout>
                  <c:x val="8.5470071089899877E-3"/>
                  <c:y val="-7.629264064731081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82-41B1-AD00-4F5F39BF3E25}"/>
                </c:ext>
              </c:extLst>
            </c:dLbl>
            <c:dLbl>
              <c:idx val="7"/>
              <c:layout>
                <c:manualLayout>
                  <c:x val="2.136751777247496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82-41B1-AD00-4F5F39BF3E25}"/>
                </c:ext>
              </c:extLst>
            </c:dLbl>
            <c:dLbl>
              <c:idx val="8"/>
              <c:layout>
                <c:manualLayout>
                  <c:x val="4.2735035544949939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82-41B1-AD00-4F5F39BF3E25}"/>
                </c:ext>
              </c:extLst>
            </c:dLbl>
            <c:dLbl>
              <c:idx val="1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82-41B1-AD00-4F5F39BF3E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Graphs!$B$215:$N$215</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Graphs!$B$218:$N$218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C482-41B1-AD00-4F5F39BF3E25}"/>
            </c:ext>
          </c:extLst>
        </c:ser>
        <c:ser>
          <c:idx val="1"/>
          <c:order val="2"/>
          <c:tx>
            <c:strRef>
              <c:f>Graphs!$A$217</c:f>
              <c:strCache>
                <c:ptCount val="1"/>
                <c:pt idx="0">
                  <c:v>a) Excellent - 100%</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4"/>
              <c:layout>
                <c:manualLayout>
                  <c:x val="-6.4102553317424904E-3"/>
                  <c:y val="-7.629264064731081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82-41B1-AD00-4F5F39BF3E25}"/>
                </c:ext>
              </c:extLst>
            </c:dLbl>
            <c:dLbl>
              <c:idx val="11"/>
              <c:layout>
                <c:manualLayout>
                  <c:x val="-6.4102553317426474E-3"/>
                  <c:y val="-7.629264064731081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82-41B1-AD00-4F5F39BF3E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Graphs!$B$215:$N$215</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Graphs!$B$217:$N$217</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C482-41B1-AD00-4F5F39BF3E25}"/>
            </c:ext>
          </c:extLst>
        </c:ser>
        <c:dLbls>
          <c:dLblPos val="outEnd"/>
          <c:showLegendKey val="0"/>
          <c:showVal val="1"/>
          <c:showCatName val="0"/>
          <c:showSerName val="0"/>
          <c:showPercent val="0"/>
          <c:showBubbleSize val="0"/>
        </c:dLbls>
        <c:gapWidth val="100"/>
        <c:overlap val="-24"/>
        <c:axId val="390599408"/>
        <c:axId val="390608112"/>
        <c:extLst>
          <c:ext xmlns:c15="http://schemas.microsoft.com/office/drawing/2012/chart" uri="{02D57815-91ED-43cb-92C2-25804820EDAC}">
            <c15:filteredBarSeries>
              <c15:ser>
                <c:idx val="0"/>
                <c:order val="0"/>
                <c:tx>
                  <c:strRef>
                    <c:extLst>
                      <c:ext uri="{02D57815-91ED-43cb-92C2-25804820EDAC}">
                        <c15:formulaRef>
                          <c15:sqref>Graphs!$A$216</c15:sqref>
                        </c15:formulaRef>
                      </c:ext>
                    </c:extLst>
                    <c:strCache>
                      <c:ptCount val="1"/>
                      <c:pt idx="0">
                        <c:v>TSD+1: Satisfaction with clarity of treatment oBGectives</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Graphs!$B$215:$N$215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Graphs!$B$216:$N$216</c15:sqref>
                        </c15:formulaRef>
                      </c:ext>
                    </c:extLst>
                    <c:numCache>
                      <c:formatCode>General</c:formatCode>
                      <c:ptCount val="12"/>
                    </c:numCache>
                  </c:numRef>
                </c:val>
                <c:extLst>
                  <c:ext xmlns:c16="http://schemas.microsoft.com/office/drawing/2014/chart" uri="{C3380CC4-5D6E-409C-BE32-E72D297353CC}">
                    <c16:uniqueId val="{00000008-C482-41B1-AD00-4F5F39BF3E2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Graphs!$A$219</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Graphs!$B$215:$N$215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Graphs!$B$219:$N$219</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9-C482-41B1-AD00-4F5F39BF3E2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Graphs!$A$220</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Graphs!$B$215:$N$215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Graphs!$B$220:$N$220</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A-C482-41B1-AD00-4F5F39BF3E2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Graphs!$A$221</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Graphs!$B$215:$N$215</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Graphs!$B$221:$N$221</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B-C482-41B1-AD00-4F5F39BF3E25}"/>
                  </c:ext>
                </c:extLst>
              </c15:ser>
            </c15:filteredBarSeries>
          </c:ext>
        </c:extLst>
      </c:barChart>
      <c:dateAx>
        <c:axId val="390599408"/>
        <c:scaling>
          <c:orientation val="minMax"/>
        </c:scaling>
        <c:delete val="0"/>
        <c:axPos val="b"/>
        <c:numFmt formatCode="mmm\-yy" sourceLinked="1"/>
        <c:majorTickMark val="none"/>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608112"/>
        <c:crosses val="autoZero"/>
        <c:auto val="1"/>
        <c:lblOffset val="100"/>
        <c:baseTimeUnit val="months"/>
      </c:dateAx>
      <c:valAx>
        <c:axId val="390608112"/>
        <c:scaling>
          <c:orientation val="minMax"/>
          <c:max val="1"/>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599408"/>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cap="none" normalizeH="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Satisfaction with information about  Treatment schedule (Day &amp; Time) </a:t>
            </a:r>
          </a:p>
        </c:rich>
      </c:tx>
      <c:layout>
        <c:manualLayout>
          <c:xMode val="edge"/>
          <c:yMode val="edge"/>
          <c:x val="0.11646938769986169"/>
          <c:y val="3.471105904149523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2"/>
          <c:order val="1"/>
          <c:tx>
            <c:strRef>
              <c:f>Graphs!$A$283</c:f>
              <c:strCache>
                <c:ptCount val="1"/>
                <c:pt idx="0">
                  <c:v>b) V.Good - 80%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5"/>
              <c:layout>
                <c:manualLayout>
                  <c:x val="2.2917382834880258E-3"/>
                  <c:y val="1.3840830449826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BF0-45B7-9D81-DF13D20D9E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Graphs!$B$280:$N$280</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Graphs!$B$283:$N$283</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DBF0-45B7-9D81-DF13D20D9E63}"/>
            </c:ext>
          </c:extLst>
        </c:ser>
        <c:ser>
          <c:idx val="1"/>
          <c:order val="2"/>
          <c:tx>
            <c:strRef>
              <c:f>Graphs!$A$282</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2605462818350869E-2"/>
                  <c:y val="1.2972963154692169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DBF0-45B7-9D81-DF13D20D9E63}"/>
                </c:ext>
              </c:extLst>
            </c:dLbl>
            <c:dLbl>
              <c:idx val="2"/>
              <c:layout>
                <c:manualLayout>
                  <c:x val="-2.97980112403447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DBF0-45B7-9D81-DF13D20D9E63}"/>
                </c:ext>
              </c:extLst>
            </c:dLbl>
            <c:dLbl>
              <c:idx val="3"/>
              <c:layout>
                <c:manualLayout>
                  <c:x val="-9.1741712072863435E-4"/>
                  <c:y val="4.613610149942245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DBF0-45B7-9D81-DF13D20D9E63}"/>
                </c:ext>
              </c:extLst>
            </c:dLbl>
            <c:dLbl>
              <c:idx val="4"/>
              <c:layout>
                <c:manualLayout>
                  <c:x val="-6.8806284054644421E-4"/>
                  <c:y val="-4.1798581405698837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DBF0-45B7-9D81-DF13D20D9E63}"/>
                </c:ext>
              </c:extLst>
            </c:dLbl>
            <c:dLbl>
              <c:idx val="7"/>
              <c:layout>
                <c:manualLayout>
                  <c:x val="-2.97980112403447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DBF0-45B7-9D81-DF13D20D9E63}"/>
                </c:ext>
              </c:extLst>
            </c:dLbl>
            <c:dLbl>
              <c:idx val="8"/>
              <c:layout>
                <c:manualLayout>
                  <c:x val="3.4367051660653108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DBF0-45B7-9D81-DF13D20D9E63}"/>
                </c:ext>
              </c:extLst>
            </c:dLbl>
            <c:dLbl>
              <c:idx val="9"/>
              <c:layout>
                <c:manualLayout>
                  <c:x val="-6.1889565282510876E-3"/>
                  <c:y val="4.179858140569714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DBF0-45B7-9D81-DF13D20D9E63}"/>
                </c:ext>
              </c:extLst>
            </c:dLbl>
            <c:dLbl>
              <c:idx val="10"/>
              <c:layout>
                <c:manualLayout>
                  <c:x val="-2.0798878311403925E-3"/>
                  <c:y val="1.612947170530934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DBF0-45B7-9D81-DF13D20D9E63}"/>
                </c:ext>
              </c:extLst>
            </c:dLbl>
            <c:dLbl>
              <c:idx val="11"/>
              <c:layout>
                <c:manualLayout>
                  <c:x val="-5.2715394075224953E-3"/>
                  <c:y val="4.6136101499423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DBF0-45B7-9D81-DF13D20D9E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Graphs!$B$280:$N$280</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Graphs!$B$282:$N$282</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9-DBF0-45B7-9D81-DF13D20D9E63}"/>
            </c:ext>
          </c:extLst>
        </c:ser>
        <c:dLbls>
          <c:dLblPos val="outEnd"/>
          <c:showLegendKey val="0"/>
          <c:showVal val="1"/>
          <c:showCatName val="0"/>
          <c:showSerName val="0"/>
          <c:showPercent val="0"/>
          <c:showBubbleSize val="0"/>
        </c:dLbls>
        <c:gapWidth val="100"/>
        <c:overlap val="-24"/>
        <c:axId val="392470976"/>
        <c:axId val="392466624"/>
        <c:extLst>
          <c:ext xmlns:c15="http://schemas.microsoft.com/office/drawing/2012/chart" uri="{02D57815-91ED-43cb-92C2-25804820EDAC}">
            <c15:filteredBarSeries>
              <c15:ser>
                <c:idx val="0"/>
                <c:order val="0"/>
                <c:tx>
                  <c:strRef>
                    <c:extLst>
                      <c:ext uri="{02D57815-91ED-43cb-92C2-25804820EDAC}">
                        <c15:formulaRef>
                          <c15:sqref>Graphs!$A$281</c15:sqref>
                        </c15:formulaRef>
                      </c:ext>
                    </c:extLst>
                    <c:strCache>
                      <c:ptCount val="1"/>
                      <c:pt idx="0">
                        <c:v>TSD+1: Satisfaction with information about your Treatment sCEedule (Day &amp; Time)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Graphs!$B$280:$N$280</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Graphs!$B$281:$N$281</c15:sqref>
                        </c15:formulaRef>
                      </c:ext>
                    </c:extLst>
                    <c:numCache>
                      <c:formatCode>General</c:formatCode>
                      <c:ptCount val="12"/>
                    </c:numCache>
                  </c:numRef>
                </c:val>
                <c:extLst>
                  <c:ext xmlns:c16="http://schemas.microsoft.com/office/drawing/2014/chart" uri="{C3380CC4-5D6E-409C-BE32-E72D297353CC}">
                    <c16:uniqueId val="{0000000C-DBF0-45B7-9D81-DF13D20D9E6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Graphs!$A$284</c15:sqref>
                        </c15:formulaRef>
                      </c:ext>
                    </c:extLst>
                    <c:strCache>
                      <c:ptCount val="1"/>
                      <c:pt idx="0">
                        <c:v>C) Good - 60%</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Graphs!$B$280:$N$280</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Graphs!$B$284:$N$284</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D-DBF0-45B7-9D81-DF13D20D9E63}"/>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Graphs!$A$285</c15:sqref>
                        </c15:formulaRef>
                      </c:ext>
                    </c:extLst>
                    <c:strCache>
                      <c:ptCount val="1"/>
                      <c:pt idx="0">
                        <c:v>d) Fair - 40%</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Graphs!$B$280:$N$280</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Graphs!$B$285:$N$285</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DBF0-45B7-9D81-DF13D20D9E63}"/>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Graphs!$A$286</c15:sqref>
                        </c15:formulaRef>
                      </c:ext>
                    </c:extLst>
                    <c:strCache>
                      <c:ptCount val="1"/>
                      <c:pt idx="0">
                        <c:v>e) Poor - 20%</c:v>
                      </c:pt>
                    </c:strCache>
                  </c:strRef>
                </c:tx>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Graphs!$B$280:$N$280</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Graphs!$B$286:$N$286</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DBF0-45B7-9D81-DF13D20D9E63}"/>
                  </c:ext>
                </c:extLst>
              </c15:ser>
            </c15:filteredBarSeries>
          </c:ext>
        </c:extLst>
      </c:barChart>
      <c:dateAx>
        <c:axId val="392470976"/>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66624"/>
        <c:crosses val="autoZero"/>
        <c:auto val="1"/>
        <c:lblOffset val="100"/>
        <c:baseTimeUnit val="months"/>
      </c:dateAx>
      <c:valAx>
        <c:axId val="392466624"/>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0976"/>
        <c:crosses val="autoZero"/>
        <c:crossBetween val="between"/>
        <c:majorUnit val="0.1"/>
      </c:valAx>
      <c:spPr>
        <a:noFill/>
        <a:ln>
          <a:noFill/>
        </a:ln>
        <a:effectLst/>
      </c:spPr>
    </c:plotArea>
    <c:legend>
      <c:legendPos val="b"/>
      <c:layout>
        <c:manualLayout>
          <c:xMode val="edge"/>
          <c:yMode val="edge"/>
          <c:x val="0.12174445450955798"/>
          <c:y val="0.91005191017789444"/>
          <c:w val="0.40778697905781425"/>
          <c:h val="7.78552161948614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 Satisfaction with information about daily routine  </a:t>
            </a:r>
            <a:endParaRPr lang="en-IN"/>
          </a:p>
        </c:rich>
      </c:tx>
      <c:layout>
        <c:manualLayout>
          <c:xMode val="edge"/>
          <c:yMode val="edge"/>
          <c:x val="0.18628295004548001"/>
          <c:y val="4.44421436939759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Graphs!$A$291</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1036206090677021E-3"/>
                  <c:y val="8.359353004749839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52A4-47E2-B565-2F83782E3CE8}"/>
                </c:ext>
              </c:extLst>
            </c:dLbl>
            <c:dLbl>
              <c:idx val="1"/>
              <c:layout>
                <c:manualLayout>
                  <c:x val="-2.2831050228310501E-3"/>
                  <c:y val="-4.6136101499423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A4-47E2-B565-2F83782E3CE8}"/>
                </c:ext>
              </c:extLst>
            </c:dLbl>
            <c:dLbl>
              <c:idx val="2"/>
              <c:layout>
                <c:manualLayout>
                  <c:x val="-6.6210045662100456E-4"/>
                  <c:y val="9.2272202998846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52A4-47E2-B565-2F83782E3CE8}"/>
                </c:ext>
              </c:extLst>
            </c:dLbl>
            <c:dLbl>
              <c:idx val="3"/>
              <c:layout>
                <c:manualLayout>
                  <c:x val="-8.8286053284435334E-4"/>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52A4-47E2-B565-2F83782E3CE8}"/>
                </c:ext>
              </c:extLst>
            </c:dLbl>
            <c:dLbl>
              <c:idx val="4"/>
              <c:layout>
                <c:manualLayout>
                  <c:x val="-9.7945205479452058E-3"/>
                  <c:y val="-4.1798581405697987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52A4-47E2-B565-2F83782E3CE8}"/>
                </c:ext>
              </c:extLst>
            </c:dLbl>
            <c:dLbl>
              <c:idx val="7"/>
              <c:layout>
                <c:manualLayout>
                  <c:x val="-2.9452054794520547E-3"/>
                  <c:y val="4.6136101499423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52A4-47E2-B565-2F83782E3CE8}"/>
                </c:ext>
              </c:extLst>
            </c:dLbl>
            <c:dLbl>
              <c:idx val="8"/>
              <c:layout>
                <c:manualLayout>
                  <c:x val="-3.3867256318988359E-3"/>
                  <c:y val="-8.4581875651897525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52A4-47E2-B565-2F83782E3CE8}"/>
                </c:ext>
              </c:extLst>
            </c:dLbl>
            <c:dLbl>
              <c:idx val="9"/>
              <c:layout>
                <c:manualLayout>
                  <c:x val="-6.1111710351274585E-3"/>
                  <c:y val="-4.3375200937253083E-4"/>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52A4-47E2-B565-2F83782E3CE8}"/>
                </c:ext>
              </c:extLst>
            </c:dLbl>
            <c:dLbl>
              <c:idx val="10"/>
              <c:layout>
                <c:manualLayout>
                  <c:x val="-8.8773235537338655E-3"/>
                  <c:y val="6.226557320473349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52A4-47E2-B565-2F83782E3CE8}"/>
                </c:ext>
              </c:extLst>
            </c:dLbl>
            <c:dLbl>
              <c:idx val="11"/>
              <c:layout>
                <c:manualLayout>
                  <c:x val="-9.7945205479453724E-3"/>
                  <c:y val="4.61361014994233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9-52A4-47E2-B565-2F83782E3C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Graphs!$B$289:$N$289</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Graphs!$B$291:$N$291</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A-52A4-47E2-B565-2F83782E3CE8}"/>
            </c:ext>
          </c:extLst>
        </c:ser>
        <c:ser>
          <c:idx val="2"/>
          <c:order val="2"/>
          <c:tx>
            <c:strRef>
              <c:f>Graphs!$A$292</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Graphs!$B$289:$N$289</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Graphs!$B$292:$N$292</c:f>
              <c:numCache>
                <c:formatCode>0%</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52A4-47E2-B565-2F83782E3CE8}"/>
            </c:ext>
          </c:extLst>
        </c:ser>
        <c:dLbls>
          <c:dLblPos val="outEnd"/>
          <c:showLegendKey val="0"/>
          <c:showVal val="1"/>
          <c:showCatName val="0"/>
          <c:showSerName val="0"/>
          <c:showPercent val="0"/>
          <c:showBubbleSize val="0"/>
        </c:dLbls>
        <c:gapWidth val="100"/>
        <c:overlap val="-24"/>
        <c:axId val="392477504"/>
        <c:axId val="392472608"/>
        <c:extLst>
          <c:ext xmlns:c15="http://schemas.microsoft.com/office/drawing/2012/chart" uri="{02D57815-91ED-43cb-92C2-25804820EDAC}">
            <c15:filteredBarSeries>
              <c15:ser>
                <c:idx val="0"/>
                <c:order val="0"/>
                <c:tx>
                  <c:strRef>
                    <c:extLst>
                      <c:ext uri="{02D57815-91ED-43cb-92C2-25804820EDAC}">
                        <c15:formulaRef>
                          <c15:sqref>Graphs!$A$290</c15:sqref>
                        </c15:formulaRef>
                      </c:ext>
                    </c:extLst>
                    <c:strCache>
                      <c:ptCount val="1"/>
                      <c:pt idx="0">
                        <c:v>TSD+1: Satisfaction with information about your daily routine</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Graphs!$B$289:$N$289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Graphs!$B$290:$N$290</c15:sqref>
                        </c15:formulaRef>
                      </c:ext>
                    </c:extLst>
                    <c:numCache>
                      <c:formatCode>General</c:formatCode>
                      <c:ptCount val="12"/>
                    </c:numCache>
                  </c:numRef>
                </c:val>
                <c:extLst>
                  <c:ext xmlns:c16="http://schemas.microsoft.com/office/drawing/2014/chart" uri="{C3380CC4-5D6E-409C-BE32-E72D297353CC}">
                    <c16:uniqueId val="{0000000C-52A4-47E2-B565-2F83782E3CE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Graphs!$A$293</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Graphs!$B$289:$N$289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Graphs!$B$293:$N$293</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D-52A4-47E2-B565-2F83782E3CE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Graphs!$A$294</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Graphs!$B$289:$N$289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Graphs!$B$294:$N$294</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52A4-47E2-B565-2F83782E3CE8}"/>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Graphs!$A$295</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Graphs!$B$289:$N$289</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Graphs!$B$295:$N$295</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52A4-47E2-B565-2F83782E3CE8}"/>
                  </c:ext>
                </c:extLst>
              </c15:ser>
            </c15:filteredBarSeries>
          </c:ext>
        </c:extLst>
      </c:barChart>
      <c:dateAx>
        <c:axId val="392477504"/>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2608"/>
        <c:crosses val="autoZero"/>
        <c:auto val="1"/>
        <c:lblOffset val="100"/>
        <c:baseTimeUnit val="months"/>
      </c:dateAx>
      <c:valAx>
        <c:axId val="392472608"/>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477504"/>
        <c:crosses val="autoZero"/>
        <c:crossBetween val="between"/>
        <c:majorUnit val="0.1"/>
      </c:valAx>
      <c:spPr>
        <a:noFill/>
        <a:ln>
          <a:noFill/>
        </a:ln>
        <a:effectLst/>
      </c:spPr>
    </c:plotArea>
    <c:legend>
      <c:legendPos val="b"/>
      <c:layout>
        <c:manualLayout>
          <c:xMode val="edge"/>
          <c:yMode val="edge"/>
          <c:x val="0.12174445450955798"/>
          <c:y val="0.91005191017789444"/>
          <c:w val="0.40736571151746526"/>
          <c:h val="7.78552161948614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350939539637198E-2"/>
          <c:y val="0.22219055951339417"/>
          <c:w val="0.92845488691423617"/>
          <c:h val="0.54657934424863563"/>
        </c:manualLayout>
      </c:layout>
      <c:barChart>
        <c:barDir val="col"/>
        <c:grouping val="clustered"/>
        <c:varyColors val="0"/>
        <c:ser>
          <c:idx val="1"/>
          <c:order val="1"/>
          <c:tx>
            <c:strRef>
              <c:f>Graphs!$A$355</c:f>
              <c:strCache>
                <c:ptCount val="1"/>
                <c:pt idx="0">
                  <c:v>b) V.Good - 80%</c:v>
                </c:pt>
              </c:strCache>
            </c:strRef>
          </c:tx>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1.0311935228704883E-2"/>
                  <c:y val="8.3594566353186652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C7B9-4628-A884-DD512DC6F09E}"/>
                </c:ext>
              </c:extLst>
            </c:dLbl>
            <c:dLbl>
              <c:idx val="2"/>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C7B9-4628-A884-DD512DC6F09E}"/>
                </c:ext>
              </c:extLst>
            </c:dLbl>
            <c:dLbl>
              <c:idx val="3"/>
              <c:layout>
                <c:manualLayout>
                  <c:x val="8.2495481829639363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C7B9-4628-A884-DD512DC6F09E}"/>
                </c:ext>
              </c:extLst>
            </c:dLbl>
            <c:dLbl>
              <c:idx val="4"/>
              <c:layout>
                <c:manualLayout>
                  <c:x val="6.1871611372228763E-3"/>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C7B9-4628-A884-DD512DC6F09E}"/>
                </c:ext>
              </c:extLst>
            </c:dLbl>
            <c:dLbl>
              <c:idx val="7"/>
              <c:layout>
                <c:manualLayout>
                  <c:x val="6.1871611372229518E-3"/>
                  <c:y val="-7.6627467283380521E-17"/>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C7B9-4628-A884-DD512DC6F09E}"/>
                </c:ext>
              </c:extLst>
            </c:dLbl>
            <c:dLbl>
              <c:idx val="8"/>
              <c:layout>
                <c:manualLayout>
                  <c:x val="1.0311935228704768E-2"/>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C7B9-4628-A884-DD512DC6F09E}"/>
                </c:ext>
              </c:extLst>
            </c:dLbl>
            <c:dLbl>
              <c:idx val="9"/>
              <c:layout>
                <c:manualLayout>
                  <c:x val="1.4436709320186737E-2"/>
                  <c:y val="4.1797283176593526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C7B9-4628-A884-DD512DC6F09E}"/>
                </c:ext>
              </c:extLst>
            </c:dLbl>
            <c:dLbl>
              <c:idx val="10"/>
              <c:layout>
                <c:manualLayout>
                  <c:x val="1.1670578588688437E-2"/>
                  <c:y val="1.0840105316886721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7-C7B9-4628-A884-DD512DC6F09E}"/>
                </c:ext>
              </c:extLst>
            </c:dLbl>
            <c:dLbl>
              <c:idx val="11"/>
              <c:layout>
                <c:manualLayout>
                  <c:x val="6.187161137222951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C7B9-4628-A884-DD512DC6F09E}"/>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Graphs!$B$353:$N$353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Graphs!$B$355:$N$355</c:f>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9-C7B9-4628-A884-DD512DC6F09E}"/>
            </c:ext>
          </c:extLst>
        </c:ser>
        <c:ser>
          <c:idx val="2"/>
          <c:order val="2"/>
          <c:tx>
            <c:strRef>
              <c:f>Graphs!$A$356</c:f>
              <c:strCache>
                <c:ptCount val="1"/>
                <c:pt idx="0">
                  <c:v>a) Excellent - 100%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6.8493150684931295E-3"/>
                  <c:y val="8.59660434128511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7B9-4628-A884-DD512DC6F09E}"/>
                </c:ext>
              </c:extLst>
            </c:dLbl>
            <c:dLbl>
              <c:idx val="10"/>
              <c:layout>
                <c:manualLayout>
                  <c:x val="1.1415525114155251E-2"/>
                  <c:y val="1.2894906511927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7B9-4628-A884-DD512DC6F09E}"/>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Graphs!$B$353:$N$353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Graphs!$B$356:$N$356</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C-C7B9-4628-A884-DD512DC6F09E}"/>
            </c:ext>
          </c:extLst>
        </c:ser>
        <c:dLbls>
          <c:dLblPos val="outEnd"/>
          <c:showLegendKey val="0"/>
          <c:showVal val="1"/>
          <c:showCatName val="0"/>
          <c:showSerName val="0"/>
          <c:showPercent val="0"/>
          <c:showBubbleSize val="0"/>
        </c:dLbls>
        <c:gapWidth val="100"/>
        <c:overlap val="-24"/>
        <c:axId val="393376080"/>
        <c:axId val="393373904"/>
        <c:extLst>
          <c:ext xmlns:c15="http://schemas.microsoft.com/office/drawing/2012/chart" uri="{02D57815-91ED-43cb-92C2-25804820EDAC}">
            <c15:filteredBarSeries>
              <c15:ser>
                <c:idx val="0"/>
                <c:order val="0"/>
                <c:tx>
                  <c:strRef>
                    <c:extLst>
                      <c:ext uri="{02D57815-91ED-43cb-92C2-25804820EDAC}">
                        <c15:formulaRef>
                          <c15:sqref>Graphs!$A$354</c15:sqref>
                        </c15:formulaRef>
                      </c:ext>
                    </c:extLst>
                    <c:strCache>
                      <c:ptCount val="1"/>
                      <c:pt idx="0">
                        <c:v>TED-1: Satisfaction with Caregivers</c:v>
                      </c:pt>
                    </c:strCache>
                  </c:strRef>
                </c:tx>
                <c:spPr>
                  <a:solidFill>
                    <a:srgbClr val="92D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Graphs!$B$353:$N$353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c:ext uri="{02D57815-91ED-43cb-92C2-25804820EDAC}">
                        <c15:formulaRef>
                          <c15:sqref>Graphs!$B$354:$N$354</c15:sqref>
                        </c15:formulaRef>
                      </c:ext>
                    </c:extLst>
                    <c:numCache>
                      <c:formatCode>General</c:formatCode>
                      <c:ptCount val="12"/>
                    </c:numCache>
                  </c:numRef>
                </c:val>
                <c:extLst>
                  <c:ext xmlns:c16="http://schemas.microsoft.com/office/drawing/2014/chart" uri="{C3380CC4-5D6E-409C-BE32-E72D297353CC}">
                    <c16:uniqueId val="{0000000D-C7B9-4628-A884-DD512DC6F09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Graphs!$A$357</c15:sqref>
                        </c15:formulaRef>
                      </c:ext>
                    </c:extLst>
                    <c:strCache>
                      <c:ptCount val="1"/>
                      <c:pt idx="0">
                        <c:v>C) Good - 60%</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Graphs!$B$353:$N$353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Graphs!$B$357:$N$357</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E-C7B9-4628-A884-DD512DC6F09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Graphs!$A$358</c15:sqref>
                        </c15:formulaRef>
                      </c:ext>
                    </c:extLst>
                    <c:strCache>
                      <c:ptCount val="1"/>
                      <c:pt idx="0">
                        <c:v>d) Fair - 40%</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Graphs!$B$353:$N$353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Graphs!$B$358:$N$358</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F-C7B9-4628-A884-DD512DC6F09E}"/>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Graphs!$A$359</c15:sqref>
                        </c15:formulaRef>
                      </c:ext>
                    </c:extLst>
                    <c:strCache>
                      <c:ptCount val="1"/>
                      <c:pt idx="0">
                        <c:v>e) Poor - 20%</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xmlns:c15="http://schemas.microsoft.com/office/drawing/2012/chart">
                      <c:ext xmlns:c15="http://schemas.microsoft.com/office/drawing/2012/chart" uri="{02D57815-91ED-43cb-92C2-25804820EDAC}">
                        <c15:formulaRef>
                          <c15:sqref>Graphs!$B$353:$N$353</c15:sqref>
                        </c15:formulaRef>
                      </c:ext>
                    </c:extLst>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extLst xmlns:c15="http://schemas.microsoft.com/office/drawing/2012/chart">
                      <c:ext xmlns:c15="http://schemas.microsoft.com/office/drawing/2012/chart" uri="{02D57815-91ED-43cb-92C2-25804820EDAC}">
                        <c15:formulaRef>
                          <c15:sqref>Graphs!$B$359:$N$359</c15:sqref>
                        </c15:formulaRef>
                      </c:ext>
                    </c:extLst>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10-C7B9-4628-A884-DD512DC6F09E}"/>
                  </c:ext>
                </c:extLst>
              </c15:ser>
            </c15:filteredBarSeries>
          </c:ext>
        </c:extLst>
      </c:barChart>
      <c:dateAx>
        <c:axId val="393376080"/>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73904"/>
        <c:crosses val="autoZero"/>
        <c:auto val="1"/>
        <c:lblOffset val="100"/>
        <c:baseTimeUnit val="months"/>
      </c:dateAx>
      <c:valAx>
        <c:axId val="393373904"/>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376080"/>
        <c:crosses val="autoZero"/>
        <c:crossBetween val="between"/>
        <c:majorUnit val="0.1"/>
      </c:valAx>
      <c:spPr>
        <a:noFill/>
        <a:ln>
          <a:noFill/>
        </a:ln>
        <a:effectLst/>
      </c:spPr>
    </c:plotArea>
    <c:legend>
      <c:legendPos val="b"/>
      <c:layout>
        <c:manualLayout>
          <c:xMode val="edge"/>
          <c:yMode val="edge"/>
          <c:x val="0.24348911448052465"/>
          <c:y val="0.91435006794363449"/>
          <c:w val="0.40736571151746526"/>
          <c:h val="7.253435680307854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b="0"/>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49530</xdr:rowOff>
    </xdr:from>
    <xdr:to>
      <xdr:col>12</xdr:col>
      <xdr:colOff>83820</xdr:colOff>
      <xdr:row>35</xdr:row>
      <xdr:rowOff>60960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274321</xdr:colOff>
      <xdr:row>15</xdr:row>
      <xdr:rowOff>40956</xdr:rowOff>
    </xdr:from>
    <xdr:to>
      <xdr:col>25</xdr:col>
      <xdr:colOff>472441</xdr:colOff>
      <xdr:row>35</xdr:row>
      <xdr:rowOff>38099</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274320</xdr:colOff>
      <xdr:row>0</xdr:row>
      <xdr:rowOff>0</xdr:rowOff>
    </xdr:from>
    <xdr:to>
      <xdr:col>25</xdr:col>
      <xdr:colOff>480060</xdr:colOff>
      <xdr:row>15</xdr:row>
      <xdr:rowOff>57150</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xdr:colOff>
      <xdr:row>35</xdr:row>
      <xdr:rowOff>28575</xdr:rowOff>
    </xdr:from>
    <xdr:to>
      <xdr:col>22</xdr:col>
      <xdr:colOff>335280</xdr:colOff>
      <xdr:row>50</xdr:row>
      <xdr:rowOff>114300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160020</xdr:colOff>
      <xdr:row>51</xdr:row>
      <xdr:rowOff>19050</xdr:rowOff>
    </xdr:from>
    <xdr:to>
      <xdr:col>22</xdr:col>
      <xdr:colOff>175259</xdr:colOff>
      <xdr:row>67</xdr:row>
      <xdr:rowOff>137160</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xdr:colOff>
      <xdr:row>84</xdr:row>
      <xdr:rowOff>87630</xdr:rowOff>
    </xdr:from>
    <xdr:to>
      <xdr:col>11</xdr:col>
      <xdr:colOff>167640</xdr:colOff>
      <xdr:row>99</xdr:row>
      <xdr:rowOff>97155</xdr:rowOff>
    </xdr:to>
    <xdr:graphicFrame macro="">
      <xdr:nvGraphicFramePr>
        <xdr:cNvPr id="10" name="Chart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251460</xdr:colOff>
      <xdr:row>84</xdr:row>
      <xdr:rowOff>72390</xdr:rowOff>
    </xdr:from>
    <xdr:to>
      <xdr:col>24</xdr:col>
      <xdr:colOff>373380</xdr:colOff>
      <xdr:row>99</xdr:row>
      <xdr:rowOff>81915</xdr:rowOff>
    </xdr:to>
    <xdr:graphicFrame macro="">
      <xdr:nvGraphicFramePr>
        <xdr:cNvPr id="11" name="Chart 10">
          <a:extLst>
            <a:ext uri="{FF2B5EF4-FFF2-40B4-BE49-F238E27FC236}">
              <a16:creationId xmlns:a16="http://schemas.microsoft.com/office/drawing/2014/main" id="{00000000-0008-0000-04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99</xdr:row>
      <xdr:rowOff>114300</xdr:rowOff>
    </xdr:from>
    <xdr:to>
      <xdr:col>11</xdr:col>
      <xdr:colOff>175260</xdr:colOff>
      <xdr:row>114</xdr:row>
      <xdr:rowOff>123825</xdr:rowOff>
    </xdr:to>
    <xdr:graphicFrame macro="">
      <xdr:nvGraphicFramePr>
        <xdr:cNvPr id="12" name="Chart 11">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253364</xdr:colOff>
      <xdr:row>99</xdr:row>
      <xdr:rowOff>108585</xdr:rowOff>
    </xdr:from>
    <xdr:to>
      <xdr:col>24</xdr:col>
      <xdr:colOff>358139</xdr:colOff>
      <xdr:row>114</xdr:row>
      <xdr:rowOff>118110</xdr:rowOff>
    </xdr:to>
    <xdr:graphicFrame macro="">
      <xdr:nvGraphicFramePr>
        <xdr:cNvPr id="13" name="Chart 12">
          <a:extLst>
            <a:ext uri="{FF2B5EF4-FFF2-40B4-BE49-F238E27FC236}">
              <a16:creationId xmlns:a16="http://schemas.microsoft.com/office/drawing/2014/main" id="{00000000-0008-0000-04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114</xdr:row>
      <xdr:rowOff>142875</xdr:rowOff>
    </xdr:from>
    <xdr:to>
      <xdr:col>11</xdr:col>
      <xdr:colOff>182880</xdr:colOff>
      <xdr:row>130</xdr:row>
      <xdr:rowOff>171450</xdr:rowOff>
    </xdr:to>
    <xdr:graphicFrame macro="">
      <xdr:nvGraphicFramePr>
        <xdr:cNvPr id="14" name="Chart 13">
          <a:extLst>
            <a:ext uri="{FF2B5EF4-FFF2-40B4-BE49-F238E27FC236}">
              <a16:creationId xmlns:a16="http://schemas.microsoft.com/office/drawing/2014/main" id="{00000000-0008-0000-04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247650</xdr:colOff>
      <xdr:row>114</xdr:row>
      <xdr:rowOff>160020</xdr:rowOff>
    </xdr:from>
    <xdr:to>
      <xdr:col>24</xdr:col>
      <xdr:colOff>327660</xdr:colOff>
      <xdr:row>130</xdr:row>
      <xdr:rowOff>121920</xdr:rowOff>
    </xdr:to>
    <xdr:graphicFrame macro="">
      <xdr:nvGraphicFramePr>
        <xdr:cNvPr id="15" name="Chart 14">
          <a:extLst>
            <a:ext uri="{FF2B5EF4-FFF2-40B4-BE49-F238E27FC236}">
              <a16:creationId xmlns:a16="http://schemas.microsoft.com/office/drawing/2014/main" id="{00000000-0008-0000-04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131</xdr:row>
      <xdr:rowOff>9525</xdr:rowOff>
    </xdr:from>
    <xdr:to>
      <xdr:col>11</xdr:col>
      <xdr:colOff>182880</xdr:colOff>
      <xdr:row>147</xdr:row>
      <xdr:rowOff>38100</xdr:rowOff>
    </xdr:to>
    <xdr:graphicFrame macro="">
      <xdr:nvGraphicFramePr>
        <xdr:cNvPr id="16" name="Chart 15">
          <a:extLst>
            <a:ext uri="{FF2B5EF4-FFF2-40B4-BE49-F238E27FC236}">
              <a16:creationId xmlns:a16="http://schemas.microsoft.com/office/drawing/2014/main" id="{00000000-0008-0000-04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147</xdr:row>
      <xdr:rowOff>104775</xdr:rowOff>
    </xdr:from>
    <xdr:to>
      <xdr:col>11</xdr:col>
      <xdr:colOff>160020</xdr:colOff>
      <xdr:row>163</xdr:row>
      <xdr:rowOff>133350</xdr:rowOff>
    </xdr:to>
    <xdr:graphicFrame macro="">
      <xdr:nvGraphicFramePr>
        <xdr:cNvPr id="18" name="Chart 17">
          <a:extLst>
            <a:ext uri="{FF2B5EF4-FFF2-40B4-BE49-F238E27FC236}">
              <a16:creationId xmlns:a16="http://schemas.microsoft.com/office/drawing/2014/main" id="{00000000-0008-0000-04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268604</xdr:colOff>
      <xdr:row>147</xdr:row>
      <xdr:rowOff>110490</xdr:rowOff>
    </xdr:from>
    <xdr:to>
      <xdr:col>24</xdr:col>
      <xdr:colOff>297179</xdr:colOff>
      <xdr:row>163</xdr:row>
      <xdr:rowOff>139065</xdr:rowOff>
    </xdr:to>
    <xdr:graphicFrame macro="">
      <xdr:nvGraphicFramePr>
        <xdr:cNvPr id="19" name="Chart 18">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164</xdr:row>
      <xdr:rowOff>0</xdr:rowOff>
    </xdr:from>
    <xdr:to>
      <xdr:col>11</xdr:col>
      <xdr:colOff>144780</xdr:colOff>
      <xdr:row>180</xdr:row>
      <xdr:rowOff>28575</xdr:rowOff>
    </xdr:to>
    <xdr:graphicFrame macro="">
      <xdr:nvGraphicFramePr>
        <xdr:cNvPr id="20" name="Chart 19">
          <a:extLst>
            <a:ext uri="{FF2B5EF4-FFF2-40B4-BE49-F238E27FC236}">
              <a16:creationId xmlns:a16="http://schemas.microsoft.com/office/drawing/2014/main" id="{00000000-0008-0000-04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266700</xdr:colOff>
      <xdr:row>164</xdr:row>
      <xdr:rowOff>36195</xdr:rowOff>
    </xdr:from>
    <xdr:to>
      <xdr:col>24</xdr:col>
      <xdr:colOff>304800</xdr:colOff>
      <xdr:row>180</xdr:row>
      <xdr:rowOff>64770</xdr:rowOff>
    </xdr:to>
    <xdr:graphicFrame macro="">
      <xdr:nvGraphicFramePr>
        <xdr:cNvPr id="21" name="Chart 20">
          <a:extLst>
            <a:ext uri="{FF2B5EF4-FFF2-40B4-BE49-F238E27FC236}">
              <a16:creationId xmlns:a16="http://schemas.microsoft.com/office/drawing/2014/main" id="{00000000-0008-0000-04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180</xdr:row>
      <xdr:rowOff>66675</xdr:rowOff>
    </xdr:from>
    <xdr:to>
      <xdr:col>11</xdr:col>
      <xdr:colOff>152400</xdr:colOff>
      <xdr:row>196</xdr:row>
      <xdr:rowOff>95250</xdr:rowOff>
    </xdr:to>
    <xdr:graphicFrame macro="">
      <xdr:nvGraphicFramePr>
        <xdr:cNvPr id="22" name="Chart 21">
          <a:extLst>
            <a:ext uri="{FF2B5EF4-FFF2-40B4-BE49-F238E27FC236}">
              <a16:creationId xmlns:a16="http://schemas.microsoft.com/office/drawing/2014/main" id="{00000000-0008-0000-04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257174</xdr:colOff>
      <xdr:row>180</xdr:row>
      <xdr:rowOff>72390</xdr:rowOff>
    </xdr:from>
    <xdr:to>
      <xdr:col>24</xdr:col>
      <xdr:colOff>304800</xdr:colOff>
      <xdr:row>196</xdr:row>
      <xdr:rowOff>100965</xdr:rowOff>
    </xdr:to>
    <xdr:graphicFrame macro="">
      <xdr:nvGraphicFramePr>
        <xdr:cNvPr id="23" name="Chart 22">
          <a:extLst>
            <a:ext uri="{FF2B5EF4-FFF2-40B4-BE49-F238E27FC236}">
              <a16:creationId xmlns:a16="http://schemas.microsoft.com/office/drawing/2014/main" id="{00000000-0008-0000-04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22860</xdr:colOff>
      <xdr:row>0</xdr:row>
      <xdr:rowOff>0</xdr:rowOff>
    </xdr:from>
    <xdr:to>
      <xdr:col>12</xdr:col>
      <xdr:colOff>91440</xdr:colOff>
      <xdr:row>15</xdr:row>
      <xdr:rowOff>57150</xdr:rowOff>
    </xdr:to>
    <xdr:graphicFrame macro="">
      <xdr:nvGraphicFramePr>
        <xdr:cNvPr id="25" name="Chart 24">
          <a:extLst>
            <a:ext uri="{FF2B5EF4-FFF2-40B4-BE49-F238E27FC236}">
              <a16:creationId xmlns:a16="http://schemas.microsoft.com/office/drawing/2014/main" id="{E3520E50-CA5D-4BD0-A305-6895B42B2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7620</xdr:colOff>
      <xdr:row>68</xdr:row>
      <xdr:rowOff>106680</xdr:rowOff>
    </xdr:from>
    <xdr:to>
      <xdr:col>11</xdr:col>
      <xdr:colOff>167640</xdr:colOff>
      <xdr:row>83</xdr:row>
      <xdr:rowOff>116205</xdr:rowOff>
    </xdr:to>
    <xdr:graphicFrame macro="">
      <xdr:nvGraphicFramePr>
        <xdr:cNvPr id="26" name="Chart 25">
          <a:extLst>
            <a:ext uri="{FF2B5EF4-FFF2-40B4-BE49-F238E27FC236}">
              <a16:creationId xmlns:a16="http://schemas.microsoft.com/office/drawing/2014/main" id="{D0324764-46F8-4188-A5D9-BCA7658C7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251460</xdr:colOff>
      <xdr:row>68</xdr:row>
      <xdr:rowOff>99060</xdr:rowOff>
    </xdr:from>
    <xdr:to>
      <xdr:col>24</xdr:col>
      <xdr:colOff>373380</xdr:colOff>
      <xdr:row>83</xdr:row>
      <xdr:rowOff>108585</xdr:rowOff>
    </xdr:to>
    <xdr:graphicFrame macro="">
      <xdr:nvGraphicFramePr>
        <xdr:cNvPr id="28" name="Chart 27">
          <a:extLst>
            <a:ext uri="{FF2B5EF4-FFF2-40B4-BE49-F238E27FC236}">
              <a16:creationId xmlns:a16="http://schemas.microsoft.com/office/drawing/2014/main" id="{6F6482D5-FBF3-4173-9056-30AF60D58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266700</xdr:colOff>
      <xdr:row>130</xdr:row>
      <xdr:rowOff>152400</xdr:rowOff>
    </xdr:from>
    <xdr:to>
      <xdr:col>24</xdr:col>
      <xdr:colOff>295275</xdr:colOff>
      <xdr:row>146</xdr:row>
      <xdr:rowOff>180975</xdr:rowOff>
    </xdr:to>
    <xdr:graphicFrame macro="">
      <xdr:nvGraphicFramePr>
        <xdr:cNvPr id="30" name="Chart 29">
          <a:extLst>
            <a:ext uri="{FF2B5EF4-FFF2-40B4-BE49-F238E27FC236}">
              <a16:creationId xmlns:a16="http://schemas.microsoft.com/office/drawing/2014/main" id="{6A8E255A-69C9-453A-8A57-B2C9E298C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0.25925</cdr:x>
      <cdr:y>0.05416</cdr:y>
    </cdr:from>
    <cdr:to>
      <cdr:x>0.82657</cdr:x>
      <cdr:y>0.1924</cdr:y>
    </cdr:to>
    <cdr:pic>
      <cdr:nvPicPr>
        <cdr:cNvPr id="5" name="chart">
          <a:extLst xmlns:a="http://schemas.openxmlformats.org/drawingml/2006/main">
            <a:ext uri="{FF2B5EF4-FFF2-40B4-BE49-F238E27FC236}">
              <a16:creationId xmlns:a16="http://schemas.microsoft.com/office/drawing/2014/main" id="{C08B36A7-0F97-8A89-10D8-B9781D9EA9D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668780" y="160020"/>
          <a:ext cx="3651821" cy="408467"/>
        </a:xfrm>
        <a:prstGeom xmlns:a="http://schemas.openxmlformats.org/drawingml/2006/main" prst="rect">
          <a:avLst/>
        </a:prstGeom>
      </cdr:spPr>
    </cdr:pic>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AL2"/>
  <sheetViews>
    <sheetView topLeftCell="AB1" zoomScaleNormal="100" workbookViewId="0">
      <pane ySplit="1" topLeftCell="A2" activePane="bottomLeft" state="frozen"/>
      <selection pane="bottomLeft" activeCell="AE6" sqref="AE6"/>
    </sheetView>
  </sheetViews>
  <sheetFormatPr defaultRowHeight="21" customHeight="1" x14ac:dyDescent="0.3"/>
  <cols>
    <col min="1" max="1" width="10.5546875" style="50" bestFit="1" customWidth="1"/>
    <col min="2" max="2" width="10.21875" bestFit="1" customWidth="1"/>
    <col min="3" max="3" width="7.44140625" bestFit="1" customWidth="1"/>
    <col min="4" max="4" width="23.21875" bestFit="1" customWidth="1"/>
    <col min="5" max="5" width="20.44140625" bestFit="1" customWidth="1"/>
    <col min="6" max="6" width="14.44140625" bestFit="1" customWidth="1"/>
    <col min="7" max="7" width="7.88671875" bestFit="1" customWidth="1"/>
    <col min="8" max="8" width="14.44140625" bestFit="1" customWidth="1"/>
    <col min="9" max="9" width="9.77734375" bestFit="1" customWidth="1"/>
    <col min="10" max="10" width="6.5546875" bestFit="1" customWidth="1"/>
    <col min="11" max="11" width="12.44140625" bestFit="1" customWidth="1"/>
    <col min="12" max="12" width="16" bestFit="1" customWidth="1"/>
    <col min="13" max="14" width="10.5546875" style="50" bestFit="1" customWidth="1"/>
    <col min="15" max="15" width="15.33203125" bestFit="1" customWidth="1"/>
    <col min="16" max="16" width="20.33203125" bestFit="1" customWidth="1"/>
    <col min="17" max="17" width="19.109375" bestFit="1" customWidth="1"/>
    <col min="18" max="18" width="23.44140625" bestFit="1" customWidth="1"/>
    <col min="19" max="19" width="16" bestFit="1" customWidth="1"/>
    <col min="20" max="20" width="18" bestFit="1" customWidth="1"/>
    <col min="21" max="21" width="16.21875" bestFit="1" customWidth="1"/>
    <col min="22" max="22" width="4.33203125" bestFit="1" customWidth="1"/>
    <col min="23" max="23" width="10.109375" bestFit="1" customWidth="1"/>
    <col min="24" max="24" width="18.21875" bestFit="1" customWidth="1"/>
    <col min="25" max="25" width="10.109375" bestFit="1" customWidth="1"/>
    <col min="26" max="26" width="5" bestFit="1" customWidth="1"/>
    <col min="27" max="27" width="11.5546875" bestFit="1" customWidth="1"/>
    <col min="28" max="28" width="20" bestFit="1" customWidth="1"/>
    <col min="29" max="29" width="27" bestFit="1" customWidth="1"/>
    <col min="30" max="30" width="9.44140625" bestFit="1" customWidth="1"/>
    <col min="31" max="31" width="26.21875" bestFit="1" customWidth="1"/>
    <col min="32" max="32" width="21.77734375" customWidth="1"/>
    <col min="33" max="34" width="10.5546875" style="1" bestFit="1" customWidth="1"/>
    <col min="35" max="36" width="10.44140625" bestFit="1" customWidth="1"/>
    <col min="37" max="38" width="27" bestFit="1" customWidth="1"/>
  </cols>
  <sheetData>
    <row r="1" spans="1:38" ht="21" customHeight="1" x14ac:dyDescent="0.3">
      <c r="A1" s="49" t="s">
        <v>126</v>
      </c>
      <c r="B1" s="47" t="s">
        <v>127</v>
      </c>
      <c r="C1" s="47" t="s">
        <v>128</v>
      </c>
      <c r="D1" s="47" t="s">
        <v>129</v>
      </c>
      <c r="E1" s="47" t="s">
        <v>130</v>
      </c>
      <c r="F1" s="47" t="s">
        <v>131</v>
      </c>
      <c r="G1" s="47" t="s">
        <v>132</v>
      </c>
      <c r="H1" s="47" t="s">
        <v>133</v>
      </c>
      <c r="I1" s="47" t="s">
        <v>134</v>
      </c>
      <c r="J1" s="47" t="s">
        <v>135</v>
      </c>
      <c r="K1" s="47" t="s">
        <v>92</v>
      </c>
      <c r="L1" s="47" t="s">
        <v>136</v>
      </c>
      <c r="M1" s="47" t="s">
        <v>93</v>
      </c>
      <c r="N1" s="47" t="s">
        <v>107</v>
      </c>
      <c r="O1" s="47" t="s">
        <v>0</v>
      </c>
      <c r="P1" s="47" t="s">
        <v>137</v>
      </c>
      <c r="Q1" s="47" t="s">
        <v>138</v>
      </c>
      <c r="R1" s="47" t="s">
        <v>139</v>
      </c>
      <c r="S1" s="47" t="s">
        <v>140</v>
      </c>
      <c r="T1" s="47" t="s">
        <v>141</v>
      </c>
      <c r="U1" s="47" t="s">
        <v>142</v>
      </c>
      <c r="V1" s="47" t="s">
        <v>143</v>
      </c>
      <c r="W1" s="47" t="s">
        <v>144</v>
      </c>
      <c r="X1" s="47" t="s">
        <v>145</v>
      </c>
      <c r="Y1" s="47" t="s">
        <v>146</v>
      </c>
      <c r="Z1" s="47" t="s">
        <v>147</v>
      </c>
      <c r="AA1" s="47" t="s">
        <v>148</v>
      </c>
      <c r="AB1" s="47" t="s">
        <v>149</v>
      </c>
      <c r="AC1" s="47" t="s">
        <v>150</v>
      </c>
      <c r="AD1" s="47" t="s">
        <v>151</v>
      </c>
      <c r="AE1" s="47" t="s">
        <v>152</v>
      </c>
      <c r="AF1" s="47" t="s">
        <v>153</v>
      </c>
      <c r="AG1" s="48" t="s">
        <v>93</v>
      </c>
      <c r="AH1" s="48" t="s">
        <v>107</v>
      </c>
      <c r="AI1" s="48" t="s">
        <v>108</v>
      </c>
      <c r="AJ1" s="48" t="s">
        <v>109</v>
      </c>
      <c r="AK1" s="48" t="s">
        <v>188</v>
      </c>
      <c r="AL1" s="48" t="s">
        <v>189</v>
      </c>
    </row>
    <row r="2" spans="1:38" ht="21" customHeight="1" x14ac:dyDescent="0.3">
      <c r="A2" s="50">
        <v>45748</v>
      </c>
      <c r="B2" t="s">
        <v>154</v>
      </c>
      <c r="D2" t="s">
        <v>195</v>
      </c>
      <c r="F2" t="s">
        <v>193</v>
      </c>
      <c r="G2">
        <v>11210</v>
      </c>
      <c r="H2" t="s">
        <v>156</v>
      </c>
      <c r="I2" t="s">
        <v>155</v>
      </c>
      <c r="L2" t="s">
        <v>196</v>
      </c>
      <c r="M2" s="50">
        <v>45748</v>
      </c>
      <c r="N2" s="50">
        <v>45748</v>
      </c>
      <c r="O2" t="s">
        <v>197</v>
      </c>
      <c r="P2" t="s">
        <v>21</v>
      </c>
      <c r="Y2" t="s">
        <v>194</v>
      </c>
      <c r="Z2">
        <v>1</v>
      </c>
      <c r="AB2" t="s">
        <v>196</v>
      </c>
      <c r="AG2" s="50">
        <f t="shared" ref="AG2" si="0">M2</f>
        <v>45748</v>
      </c>
      <c r="AH2" s="50">
        <f t="shared" ref="AH2" si="1">N2</f>
        <v>45748</v>
      </c>
      <c r="AI2" s="14" t="str">
        <f>VLOOKUP(MONTH(AG2),Month!$A:$B,2,FALSE) &amp; "-" &amp; MID(YEAR(AG2),3,2)</f>
        <v>Apr-25</v>
      </c>
      <c r="AJ2" s="14" t="str">
        <f>VLOOKUP(MONTH(AH2),Month!$A:$B,2,FALSE) &amp; "-" &amp; MID(YEAR(AH2),3,2)</f>
        <v>Apr-25</v>
      </c>
      <c r="AK2" t="str">
        <f>IFERROR(VLOOKUP(D2, 'Data-TSD+1'!Z:Z, 1, FALSE), "NOT COVERED")</f>
        <v>NOT COVERED</v>
      </c>
      <c r="AL2" s="14" t="str">
        <f>IFERROR(VLOOKUP(D2, 'Data-TED-1'!AF:AF, 1, FALSE), "NOT COVERED")</f>
        <v>NOT COVERED</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FAC55-74A2-4649-8931-D96A208D2BA0}">
  <dimension ref="A1:AC2"/>
  <sheetViews>
    <sheetView topLeftCell="Z1" zoomScaleNormal="100" workbookViewId="0">
      <pane ySplit="1" topLeftCell="A2" activePane="bottomLeft" state="frozen"/>
      <selection pane="bottomLeft" activeCell="AC10" sqref="AC10"/>
    </sheetView>
  </sheetViews>
  <sheetFormatPr defaultColWidth="8" defaultRowHeight="14.4" x14ac:dyDescent="0.3"/>
  <cols>
    <col min="1" max="1" width="40.88671875" style="14" bestFit="1" customWidth="1"/>
    <col min="2" max="2" width="15.5546875" style="14" bestFit="1" customWidth="1"/>
    <col min="3" max="3" width="14.77734375" style="14" customWidth="1"/>
    <col min="4" max="4" width="23.21875" style="14" bestFit="1" customWidth="1"/>
    <col min="5" max="5" width="29.109375" style="14" bestFit="1" customWidth="1"/>
    <col min="6" max="6" width="24.5546875" style="14" bestFit="1" customWidth="1"/>
    <col min="7" max="8" width="20.88671875" style="14" bestFit="1" customWidth="1"/>
    <col min="9" max="9" width="17.5546875" style="14" bestFit="1" customWidth="1"/>
    <col min="10" max="10" width="33.44140625" style="14" bestFit="1" customWidth="1"/>
    <col min="11" max="11" width="29" style="14" bestFit="1" customWidth="1"/>
    <col min="12" max="12" width="28.77734375" style="14" bestFit="1" customWidth="1"/>
    <col min="13" max="14" width="20.88671875" style="14" bestFit="1" customWidth="1"/>
    <col min="15" max="17" width="22.5546875" style="14" bestFit="1" customWidth="1"/>
    <col min="18" max="18" width="28" style="14" bestFit="1" customWidth="1"/>
    <col min="19" max="19" width="21.88671875" style="14" bestFit="1" customWidth="1"/>
    <col min="20" max="20" width="27.109375" style="14" bestFit="1" customWidth="1"/>
    <col min="21" max="21" width="15.77734375" style="14" customWidth="1"/>
    <col min="22" max="22" width="30.33203125" style="14" bestFit="1" customWidth="1"/>
    <col min="23" max="23" width="40.77734375" style="14" customWidth="1"/>
    <col min="24" max="24" width="31.5546875" style="14" bestFit="1" customWidth="1"/>
    <col min="25" max="25" width="15.5546875" style="14" bestFit="1" customWidth="1"/>
    <col min="26" max="26" width="27" style="14" bestFit="1" customWidth="1"/>
    <col min="27" max="27" width="23.21875" style="14" customWidth="1"/>
    <col min="28" max="28" width="12.44140625" style="14" customWidth="1"/>
    <col min="29" max="29" width="17.44140625" style="14" customWidth="1"/>
  </cols>
  <sheetData>
    <row r="1" spans="1:29" s="16" customFormat="1" ht="22.2" customHeight="1" x14ac:dyDescent="0.3">
      <c r="A1" s="15" t="s">
        <v>0</v>
      </c>
      <c r="B1" s="15" t="s">
        <v>1</v>
      </c>
      <c r="C1" s="15" t="s">
        <v>2</v>
      </c>
      <c r="D1" s="15" t="s">
        <v>3</v>
      </c>
      <c r="E1" s="15" t="s">
        <v>4</v>
      </c>
      <c r="F1" s="15" t="s">
        <v>5</v>
      </c>
      <c r="G1" s="15" t="s">
        <v>6</v>
      </c>
      <c r="H1" s="15" t="s">
        <v>7</v>
      </c>
      <c r="I1" s="15" t="s">
        <v>8</v>
      </c>
      <c r="J1" s="15" t="s">
        <v>9</v>
      </c>
      <c r="K1" s="15" t="s">
        <v>10</v>
      </c>
      <c r="L1" s="15" t="s">
        <v>11</v>
      </c>
      <c r="M1" s="15" t="s">
        <v>65</v>
      </c>
      <c r="N1" s="15" t="s">
        <v>66</v>
      </c>
      <c r="O1" s="15" t="s">
        <v>67</v>
      </c>
      <c r="P1" s="15" t="s">
        <v>12</v>
      </c>
      <c r="Q1" s="15" t="s">
        <v>13</v>
      </c>
      <c r="R1" s="15" t="s">
        <v>68</v>
      </c>
      <c r="S1" s="15" t="s">
        <v>14</v>
      </c>
      <c r="T1" s="15" t="s">
        <v>15</v>
      </c>
      <c r="U1" s="15" t="s">
        <v>16</v>
      </c>
      <c r="V1" s="15" t="s">
        <v>17</v>
      </c>
      <c r="W1" s="15" t="s">
        <v>18</v>
      </c>
      <c r="X1" s="15" t="s">
        <v>19</v>
      </c>
      <c r="Y1" s="15" t="s">
        <v>91</v>
      </c>
      <c r="Z1" s="15" t="s">
        <v>129</v>
      </c>
      <c r="AA1" s="15" t="s">
        <v>115</v>
      </c>
      <c r="AB1" s="18" t="s">
        <v>133</v>
      </c>
      <c r="AC1" s="18" t="s">
        <v>106</v>
      </c>
    </row>
    <row r="2" spans="1:29" x14ac:dyDescent="0.3">
      <c r="A2" s="14" t="s">
        <v>175</v>
      </c>
      <c r="B2" s="14">
        <v>45766</v>
      </c>
      <c r="C2" s="14">
        <v>802074397</v>
      </c>
      <c r="D2" s="14" t="s">
        <v>190</v>
      </c>
      <c r="E2" s="14" t="s">
        <v>20</v>
      </c>
      <c r="F2" s="14" t="s">
        <v>20</v>
      </c>
      <c r="G2" s="14" t="s">
        <v>20</v>
      </c>
      <c r="H2" s="14" t="s">
        <v>20</v>
      </c>
      <c r="M2" s="14" t="s">
        <v>20</v>
      </c>
      <c r="N2" s="14" t="s">
        <v>20</v>
      </c>
      <c r="O2" s="14" t="s">
        <v>20</v>
      </c>
      <c r="P2" s="14" t="s">
        <v>20</v>
      </c>
      <c r="Q2" s="14" t="s">
        <v>20</v>
      </c>
      <c r="R2" s="14" t="s">
        <v>20</v>
      </c>
      <c r="S2" s="14" t="s">
        <v>191</v>
      </c>
      <c r="T2" s="14">
        <v>45766.724583333336</v>
      </c>
      <c r="U2" s="14">
        <v>45766</v>
      </c>
      <c r="V2" s="14" t="s">
        <v>21</v>
      </c>
      <c r="W2" s="14" t="s">
        <v>116</v>
      </c>
      <c r="X2" s="14">
        <v>1</v>
      </c>
      <c r="Y2" s="14">
        <v>45766.724305555559</v>
      </c>
      <c r="Z2" s="14" t="s">
        <v>198</v>
      </c>
      <c r="AA2" s="14" t="s">
        <v>117</v>
      </c>
      <c r="AB2" t="str">
        <f>_xlfn.IFNA(VLOOKUP(Z2, 'Data-SO'!D:H, 5, FALSE),"")</f>
        <v/>
      </c>
      <c r="AC2" s="14" t="str">
        <f>VLOOKUP(MONTH(B2),Month!$A:$B,2,FALSE) &amp; "-" &amp; MID(YEAR(B2),3,2)</f>
        <v>Apr-25</v>
      </c>
    </row>
  </sheetData>
  <conditionalFormatting sqref="C1">
    <cfRule type="duplicateValues" dxfId="1" priority="2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AH2"/>
  <sheetViews>
    <sheetView topLeftCell="AA1" zoomScaleNormal="120" workbookViewId="0">
      <pane ySplit="1" topLeftCell="A2" activePane="bottomLeft" state="frozen"/>
      <selection activeCell="AC1" sqref="AC1"/>
      <selection pane="bottomLeft" activeCell="AB6" sqref="AB6"/>
    </sheetView>
  </sheetViews>
  <sheetFormatPr defaultColWidth="8" defaultRowHeight="14.4" x14ac:dyDescent="0.3"/>
  <cols>
    <col min="1" max="1" width="28.44140625" bestFit="1" customWidth="1"/>
    <col min="2" max="2" width="11.21875" bestFit="1" customWidth="1"/>
    <col min="3" max="3" width="10.44140625" bestFit="1" customWidth="1"/>
    <col min="4" max="4" width="9" bestFit="1" customWidth="1"/>
    <col min="5" max="5" width="38" bestFit="1" customWidth="1"/>
    <col min="6" max="6" width="27.6640625" bestFit="1" customWidth="1"/>
    <col min="7" max="7" width="27.109375" bestFit="1" customWidth="1"/>
    <col min="8" max="8" width="22.5546875" bestFit="1" customWidth="1"/>
    <col min="9" max="9" width="27.88671875" bestFit="1" customWidth="1"/>
    <col min="10" max="11" width="22.5546875" bestFit="1" customWidth="1"/>
    <col min="12" max="12" width="28.6640625" bestFit="1" customWidth="1"/>
    <col min="13" max="13" width="22.5546875" bestFit="1" customWidth="1"/>
    <col min="14" max="14" width="25.44140625" bestFit="1" customWidth="1"/>
    <col min="15" max="15" width="22.5546875" bestFit="1" customWidth="1"/>
    <col min="16" max="16" width="7.6640625" bestFit="1" customWidth="1"/>
    <col min="17" max="17" width="6.33203125" bestFit="1" customWidth="1"/>
    <col min="18" max="18" width="10.5546875" bestFit="1" customWidth="1"/>
    <col min="19" max="19" width="5" bestFit="1" customWidth="1"/>
    <col min="20" max="20" width="11.5546875" bestFit="1" customWidth="1"/>
    <col min="21" max="21" width="4.5546875" bestFit="1" customWidth="1"/>
    <col min="22" max="22" width="4" bestFit="1" customWidth="1"/>
    <col min="23" max="23" width="5.33203125" bestFit="1" customWidth="1"/>
    <col min="24" max="24" width="23.109375" bestFit="1" customWidth="1"/>
    <col min="25" max="25" width="28.109375" bestFit="1" customWidth="1"/>
    <col min="26" max="26" width="83.33203125" customWidth="1"/>
    <col min="27" max="27" width="80.5546875" customWidth="1"/>
    <col min="28" max="28" width="15.44140625" bestFit="1" customWidth="1"/>
    <col min="29" max="29" width="10.44140625" bestFit="1" customWidth="1"/>
    <col min="30" max="30" width="11.5546875" bestFit="1" customWidth="1"/>
    <col min="31" max="31" width="12.5546875" customWidth="1"/>
    <col min="32" max="32" width="27.6640625" bestFit="1" customWidth="1"/>
    <col min="33" max="33" width="11.88671875" bestFit="1" customWidth="1"/>
    <col min="34" max="34" width="8.5546875" customWidth="1"/>
  </cols>
  <sheetData>
    <row r="1" spans="1:34" ht="22.8" customHeight="1" x14ac:dyDescent="0.3">
      <c r="A1" s="6" t="s">
        <v>0</v>
      </c>
      <c r="B1" s="6" t="s">
        <v>2</v>
      </c>
      <c r="C1" s="6" t="s">
        <v>23</v>
      </c>
      <c r="D1" s="6" t="s">
        <v>24</v>
      </c>
      <c r="E1" s="6" t="s">
        <v>25</v>
      </c>
      <c r="F1" s="6" t="s">
        <v>26</v>
      </c>
      <c r="G1" s="6" t="s">
        <v>27</v>
      </c>
      <c r="H1" s="6" t="s">
        <v>28</v>
      </c>
      <c r="I1" s="6" t="s">
        <v>29</v>
      </c>
      <c r="J1" s="6" t="s">
        <v>30</v>
      </c>
      <c r="K1" s="6" t="s">
        <v>31</v>
      </c>
      <c r="L1" s="6" t="s">
        <v>32</v>
      </c>
      <c r="M1" s="6" t="s">
        <v>33</v>
      </c>
      <c r="N1" s="6" t="s">
        <v>34</v>
      </c>
      <c r="O1" s="6" t="s">
        <v>35</v>
      </c>
      <c r="P1" s="6" t="s">
        <v>46</v>
      </c>
      <c r="Q1" s="6" t="s">
        <v>39</v>
      </c>
      <c r="R1" s="6" t="s">
        <v>40</v>
      </c>
      <c r="S1" s="6" t="s">
        <v>41</v>
      </c>
      <c r="T1" s="6" t="s">
        <v>42</v>
      </c>
      <c r="U1" s="6" t="s">
        <v>43</v>
      </c>
      <c r="V1" s="6" t="s">
        <v>44</v>
      </c>
      <c r="W1" s="6" t="s">
        <v>45</v>
      </c>
      <c r="X1" s="6" t="s">
        <v>36</v>
      </c>
      <c r="Y1" s="6" t="s">
        <v>37</v>
      </c>
      <c r="Z1" s="6" t="s">
        <v>47</v>
      </c>
      <c r="AA1" s="6" t="s">
        <v>38</v>
      </c>
      <c r="AB1" s="6" t="s">
        <v>91</v>
      </c>
      <c r="AC1" s="6" t="s">
        <v>114</v>
      </c>
      <c r="AD1" s="6" t="s">
        <v>115</v>
      </c>
      <c r="AE1" s="6" t="s">
        <v>93</v>
      </c>
      <c r="AF1" s="6" t="s">
        <v>129</v>
      </c>
      <c r="AG1" s="18" t="s">
        <v>133</v>
      </c>
      <c r="AH1" s="19" t="s">
        <v>106</v>
      </c>
    </row>
    <row r="2" spans="1:34" x14ac:dyDescent="0.3">
      <c r="A2" t="s">
        <v>175</v>
      </c>
      <c r="B2">
        <v>801058408</v>
      </c>
      <c r="C2">
        <v>46019</v>
      </c>
      <c r="D2" t="s">
        <v>199</v>
      </c>
      <c r="E2" t="s">
        <v>192</v>
      </c>
      <c r="G2" t="s">
        <v>22</v>
      </c>
      <c r="H2" t="s">
        <v>22</v>
      </c>
      <c r="I2" t="s">
        <v>22</v>
      </c>
      <c r="J2" t="s">
        <v>173</v>
      </c>
      <c r="K2" t="s">
        <v>22</v>
      </c>
      <c r="L2" t="s">
        <v>22</v>
      </c>
      <c r="M2" t="s">
        <v>174</v>
      </c>
      <c r="N2" t="s">
        <v>174</v>
      </c>
      <c r="O2" t="s">
        <v>22</v>
      </c>
      <c r="P2" t="s">
        <v>21</v>
      </c>
      <c r="Q2" t="s">
        <v>21</v>
      </c>
      <c r="R2" t="s">
        <v>21</v>
      </c>
      <c r="S2" t="s">
        <v>21</v>
      </c>
      <c r="T2" t="s">
        <v>21</v>
      </c>
      <c r="U2" t="s">
        <v>21</v>
      </c>
      <c r="V2" t="s">
        <v>21</v>
      </c>
      <c r="W2" t="s">
        <v>21</v>
      </c>
      <c r="X2" t="s">
        <v>173</v>
      </c>
      <c r="Y2">
        <v>0.6</v>
      </c>
      <c r="AA2" t="s">
        <v>201</v>
      </c>
      <c r="AB2">
        <v>46011.495833333334</v>
      </c>
      <c r="AC2">
        <v>46011</v>
      </c>
      <c r="AD2" t="s">
        <v>117</v>
      </c>
      <c r="AE2">
        <v>46011</v>
      </c>
      <c r="AF2" t="s">
        <v>200</v>
      </c>
      <c r="AG2" t="str">
        <f>_xlfn.IFNA(VLOOKUP(AF2, 'Data-SO'!D:H, 5, FALSE),"")</f>
        <v/>
      </c>
      <c r="AH2" t="str">
        <f>VLOOKUP(MONTH(C2),Month!$A:$B,2,FALSE) &amp; "-" &amp; MID(YEAR(C2),3,2)</f>
        <v>Dec-25</v>
      </c>
    </row>
  </sheetData>
  <conditionalFormatting sqref="B1:B2">
    <cfRule type="duplicateValues" dxfId="0" priority="2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rgb="FF00B050"/>
  </sheetPr>
  <dimension ref="A1:AO161"/>
  <sheetViews>
    <sheetView showGridLines="0" topLeftCell="B1" zoomScale="120" workbookViewId="0">
      <pane ySplit="1" topLeftCell="A2" activePane="bottomLeft" state="frozen"/>
      <selection pane="bottomLeft" activeCell="H12" sqref="H12"/>
    </sheetView>
  </sheetViews>
  <sheetFormatPr defaultColWidth="9.109375" defaultRowHeight="14.4" x14ac:dyDescent="0.3"/>
  <cols>
    <col min="1" max="1" width="4.44140625" style="13" customWidth="1"/>
    <col min="2" max="2" width="69.33203125" style="13" bestFit="1" customWidth="1"/>
    <col min="3" max="3" width="6.6640625" style="13" customWidth="1"/>
    <col min="4" max="4" width="7.33203125" style="13" customWidth="1"/>
    <col min="5" max="5" width="5.5546875" style="13" bestFit="1" customWidth="1"/>
    <col min="6" max="40" width="6.6640625" style="13" customWidth="1"/>
    <col min="41" max="41" width="6.77734375" style="13" customWidth="1"/>
    <col min="42" max="42" width="9.109375" style="13" customWidth="1"/>
    <col min="43" max="16384" width="9.109375" style="13"/>
  </cols>
  <sheetData>
    <row r="1" spans="1:41" ht="18.899999999999999" customHeight="1" x14ac:dyDescent="0.3">
      <c r="A1" s="56" t="s">
        <v>118</v>
      </c>
      <c r="B1" s="57"/>
      <c r="C1" s="57"/>
      <c r="D1" s="57"/>
      <c r="E1" s="58"/>
      <c r="F1" s="53">
        <v>45748</v>
      </c>
      <c r="G1" s="54"/>
      <c r="H1" s="55"/>
      <c r="I1" s="53">
        <f>EDATE(F1,1)</f>
        <v>45778</v>
      </c>
      <c r="J1" s="54"/>
      <c r="K1" s="55"/>
      <c r="L1" s="53">
        <f t="shared" ref="L1" si="0">EDATE(I1,1)</f>
        <v>45809</v>
      </c>
      <c r="M1" s="54"/>
      <c r="N1" s="55"/>
      <c r="O1" s="53">
        <f t="shared" ref="O1" si="1">EDATE(L1,1)</f>
        <v>45839</v>
      </c>
      <c r="P1" s="54"/>
      <c r="Q1" s="55"/>
      <c r="R1" s="53">
        <f t="shared" ref="R1" si="2">EDATE(O1,1)</f>
        <v>45870</v>
      </c>
      <c r="S1" s="54"/>
      <c r="T1" s="55"/>
      <c r="U1" s="53">
        <f t="shared" ref="U1" si="3">EDATE(R1,1)</f>
        <v>45901</v>
      </c>
      <c r="V1" s="54"/>
      <c r="W1" s="55"/>
      <c r="X1" s="53">
        <f t="shared" ref="X1" si="4">EDATE(U1,1)</f>
        <v>45931</v>
      </c>
      <c r="Y1" s="54"/>
      <c r="Z1" s="55"/>
      <c r="AA1" s="53">
        <f t="shared" ref="AA1" si="5">EDATE(X1,1)</f>
        <v>45962</v>
      </c>
      <c r="AB1" s="54"/>
      <c r="AC1" s="55"/>
      <c r="AD1" s="53">
        <f t="shared" ref="AD1" si="6">EDATE(AA1,1)</f>
        <v>45992</v>
      </c>
      <c r="AE1" s="54"/>
      <c r="AF1" s="55"/>
      <c r="AG1" s="53">
        <f t="shared" ref="AG1" si="7">EDATE(AD1,1)</f>
        <v>46023</v>
      </c>
      <c r="AH1" s="54"/>
      <c r="AI1" s="55"/>
      <c r="AJ1" s="53">
        <f t="shared" ref="AJ1" si="8">EDATE(AG1,1)</f>
        <v>46054</v>
      </c>
      <c r="AK1" s="54"/>
      <c r="AL1" s="55"/>
      <c r="AM1" s="53">
        <f t="shared" ref="AM1" si="9">EDATE(AJ1,1)</f>
        <v>46082</v>
      </c>
      <c r="AN1" s="54"/>
      <c r="AO1" s="55"/>
    </row>
    <row r="2" spans="1:41" ht="15.75" customHeight="1" x14ac:dyDescent="0.3">
      <c r="A2" s="21">
        <v>1</v>
      </c>
      <c r="B2" s="22" t="s">
        <v>69</v>
      </c>
      <c r="C2" s="39" t="s">
        <v>158</v>
      </c>
      <c r="D2" s="39" t="s">
        <v>48</v>
      </c>
      <c r="E2" s="24" t="s">
        <v>159</v>
      </c>
      <c r="F2" s="23"/>
      <c r="G2" s="23"/>
      <c r="H2" s="24"/>
      <c r="I2" s="23"/>
      <c r="J2" s="23"/>
      <c r="K2" s="24"/>
      <c r="L2" s="23"/>
      <c r="M2" s="23"/>
      <c r="N2" s="24"/>
      <c r="O2" s="23"/>
      <c r="P2" s="23"/>
      <c r="Q2" s="24"/>
      <c r="R2" s="23"/>
      <c r="S2" s="23"/>
      <c r="T2" s="24"/>
      <c r="U2" s="23"/>
      <c r="V2" s="23"/>
      <c r="W2" s="24"/>
      <c r="X2" s="23"/>
      <c r="Y2" s="23"/>
      <c r="Z2" s="24"/>
      <c r="AA2" s="23"/>
      <c r="AB2" s="23"/>
      <c r="AC2" s="24"/>
      <c r="AD2" s="23"/>
      <c r="AE2" s="23"/>
      <c r="AF2" s="24"/>
      <c r="AG2" s="23"/>
      <c r="AH2" s="23"/>
      <c r="AI2" s="24"/>
      <c r="AJ2" s="23"/>
      <c r="AK2" s="23"/>
      <c r="AL2" s="24"/>
      <c r="AM2" s="23"/>
      <c r="AN2" s="23"/>
      <c r="AO2" s="24"/>
    </row>
    <row r="3" spans="1:41" ht="14.25" customHeight="1" x14ac:dyDescent="0.3">
      <c r="A3" s="25"/>
      <c r="B3" s="33" t="s">
        <v>119</v>
      </c>
      <c r="C3" s="21">
        <f>COUNTIF('Data-TSD+1'!$E:$E,"&lt;&gt;" &amp; "")-1</f>
        <v>1</v>
      </c>
      <c r="D3" s="21">
        <f>G3+J3+M3+P3+S3+V3+Y3+AB3+AE3+AH3+AK3+AN3</f>
        <v>1</v>
      </c>
      <c r="E3" s="27">
        <f>IF(C3 &lt;&gt; 0,D3/C3,"")</f>
        <v>1</v>
      </c>
      <c r="F3" s="21">
        <f>COUNTIFS('Data-TSD+1'!$AC:$AC,F$1,'Data-TSD+1'!$E:$E,"&lt;&gt;" &amp; "")</f>
        <v>1</v>
      </c>
      <c r="G3" s="21">
        <f>COUNTIFS('Data-TSD+1'!$AC:$AC,F$1,'Data-TSD+1'!$E:$E,"Very satisfactory (100%)")</f>
        <v>1</v>
      </c>
      <c r="H3" s="27">
        <f>IF(F3 &lt;&gt; 0,G3/F3,"")</f>
        <v>1</v>
      </c>
      <c r="I3" s="21">
        <f>COUNTIFS('Data-TSD+1'!$AC:$AC,I$1,'Data-TSD+1'!$E:$E,"&lt;&gt;" &amp; "")</f>
        <v>0</v>
      </c>
      <c r="J3" s="21">
        <f>COUNTIFS('Data-TSD+1'!$AC:$AC,I$1,'Data-TSD+1'!$E:$E,"Very satisfactory (100%)")</f>
        <v>0</v>
      </c>
      <c r="K3" s="27" t="str">
        <f>IF(I3 &lt;&gt; 0,J3/I3,"")</f>
        <v/>
      </c>
      <c r="L3" s="21">
        <f>COUNTIFS('Data-TSD+1'!$AC:$AC,L$1,'Data-TSD+1'!$E:$E,"&lt;&gt;" &amp; "")</f>
        <v>0</v>
      </c>
      <c r="M3" s="21">
        <f>COUNTIFS('Data-TSD+1'!$AC:$AC,L$1,'Data-TSD+1'!$E:$E,"Very satisfactory (100%)")</f>
        <v>0</v>
      </c>
      <c r="N3" s="27" t="str">
        <f>IF(L3 &lt;&gt; 0,M3/L3,"")</f>
        <v/>
      </c>
      <c r="O3" s="21">
        <f>COUNTIFS('Data-TSD+1'!$AC:$AC,O$1,'Data-TSD+1'!$E:$E,"&lt;&gt;" &amp; "")</f>
        <v>0</v>
      </c>
      <c r="P3" s="21">
        <f>COUNTIFS('Data-TSD+1'!$AC:$AC,O$1,'Data-TSD+1'!$E:$E,"Very satisfactory (100%)")</f>
        <v>0</v>
      </c>
      <c r="Q3" s="27" t="str">
        <f>IF(O3 &lt;&gt; 0,P3/O3,"")</f>
        <v/>
      </c>
      <c r="R3" s="21">
        <f>COUNTIFS('Data-TSD+1'!$AC:$AC,R$1,'Data-TSD+1'!$E:$E,"&lt;&gt;" &amp; "")</f>
        <v>0</v>
      </c>
      <c r="S3" s="21">
        <f>COUNTIFS('Data-TSD+1'!$AC:$AC,R$1,'Data-TSD+1'!$E:$E,"Very satisfactory (100%)")</f>
        <v>0</v>
      </c>
      <c r="T3" s="27" t="str">
        <f>IF(R3 &lt;&gt; 0,S3/R3,"")</f>
        <v/>
      </c>
      <c r="U3" s="21">
        <f>COUNTIFS('Data-TSD+1'!$AC:$AC,U$1,'Data-TSD+1'!$E:$E,"&lt;&gt;" &amp; "")</f>
        <v>0</v>
      </c>
      <c r="V3" s="21">
        <f>COUNTIFS('Data-TSD+1'!$AC:$AC,U$1,'Data-TSD+1'!$E:$E,"Very satisfactory (100%)")</f>
        <v>0</v>
      </c>
      <c r="W3" s="27" t="str">
        <f>IF(U3 &lt;&gt; 0,V3/U3,"")</f>
        <v/>
      </c>
      <c r="X3" s="21">
        <f>COUNTIFS('Data-TSD+1'!$AC:$AC,X$1,'Data-TSD+1'!$E:$E,"&lt;&gt;" &amp; "")</f>
        <v>0</v>
      </c>
      <c r="Y3" s="21">
        <f>COUNTIFS('Data-TSD+1'!$AC:$AC,X$1,'Data-TSD+1'!$E:$E,"Very satisfactory (100%)")</f>
        <v>0</v>
      </c>
      <c r="Z3" s="27" t="str">
        <f>IF(X3 &lt;&gt; 0,Y3/X3,"")</f>
        <v/>
      </c>
      <c r="AA3" s="21">
        <f>COUNTIFS('Data-TSD+1'!$AC:$AC,AA$1,'Data-TSD+1'!$E:$E,"&lt;&gt;" &amp; "")</f>
        <v>0</v>
      </c>
      <c r="AB3" s="21">
        <f>COUNTIFS('Data-TSD+1'!$AC:$AC,AA$1,'Data-TSD+1'!$E:$E,"Very satisfactory (100%)")</f>
        <v>0</v>
      </c>
      <c r="AC3" s="27" t="str">
        <f>IF(AA3 &lt;&gt; 0,AB3/AA3,"")</f>
        <v/>
      </c>
      <c r="AD3" s="21">
        <f>COUNTIFS('Data-TSD+1'!$AC:$AC,AD$1,'Data-TSD+1'!$E:$E,"&lt;&gt;" &amp; "")</f>
        <v>0</v>
      </c>
      <c r="AE3" s="21">
        <f>COUNTIFS('Data-TSD+1'!$AC:$AC,AD$1,'Data-TSD+1'!$E:$E,"Very satisfactory (100%)")</f>
        <v>0</v>
      </c>
      <c r="AF3" s="27" t="str">
        <f>IF(AD3 &lt;&gt; 0,AE3/AD3,"")</f>
        <v/>
      </c>
      <c r="AG3" s="21">
        <f>COUNTIFS('Data-TSD+1'!$AC:$AC,AG$1,'Data-TSD+1'!$E:$E,"&lt;&gt;" &amp; "")</f>
        <v>0</v>
      </c>
      <c r="AH3" s="21">
        <f>COUNTIFS('Data-TSD+1'!$AC:$AC,AG$1,'Data-TSD+1'!$E:$E,"Very satisfactory (100%)")</f>
        <v>0</v>
      </c>
      <c r="AI3" s="27" t="str">
        <f>IF(AG3 &lt;&gt; 0,AH3/AG3,"")</f>
        <v/>
      </c>
      <c r="AJ3" s="21">
        <f>COUNTIFS('Data-TSD+1'!$AC:$AC,AJ$1,'Data-TSD+1'!$E:$E,"&lt;&gt;" &amp; "")</f>
        <v>0</v>
      </c>
      <c r="AK3" s="21">
        <f>COUNTIFS('Data-TSD+1'!$AC:$AC,AJ$1,'Data-TSD+1'!$E:$E,"Very satisfactory (100%)")</f>
        <v>0</v>
      </c>
      <c r="AL3" s="27" t="str">
        <f>IF(AJ3 &lt;&gt; 0,AK3/AJ3,"")</f>
        <v/>
      </c>
      <c r="AM3" s="21">
        <f>COUNTIFS('Data-TSD+1'!$AC:$AC,AM$1,'Data-TSD+1'!$E:$E,"&lt;&gt;" &amp; "")</f>
        <v>0</v>
      </c>
      <c r="AN3" s="21">
        <f>COUNTIFS('Data-TSD+1'!$AC:$AC,AM$1,'Data-TSD+1'!$E:$E,"Very satisfactory (100%)")</f>
        <v>0</v>
      </c>
      <c r="AO3" s="27" t="str">
        <f>IF(AM3 &lt;&gt; 0,AN3/AM3,"")</f>
        <v/>
      </c>
    </row>
    <row r="4" spans="1:41" ht="14.25" customHeight="1" x14ac:dyDescent="0.3">
      <c r="A4" s="25"/>
      <c r="B4" s="33" t="s">
        <v>120</v>
      </c>
      <c r="C4" s="21">
        <f>C3</f>
        <v>1</v>
      </c>
      <c r="D4" s="21">
        <f t="shared" ref="D4:D7" si="10">G4+J4+M4+P4+S4+V4+Y4+AB4+AE4+AH4+AK4+AN4</f>
        <v>0</v>
      </c>
      <c r="E4" s="27">
        <f t="shared" ref="E4:E7" si="11">IF(C4 &lt;&gt; 0,D4/C4,"")</f>
        <v>0</v>
      </c>
      <c r="F4" s="21">
        <f>F3</f>
        <v>1</v>
      </c>
      <c r="G4" s="21">
        <f>COUNTIFS('Data-TSD+1'!$AC:$AC,F$1,'Data-TSD+1'!$E:$E,"Satisfactory (80%)")</f>
        <v>0</v>
      </c>
      <c r="H4" s="27">
        <f t="shared" ref="H4:H7" si="12">IF(F4 &lt;&gt; 0,G4/F4,"")</f>
        <v>0</v>
      </c>
      <c r="I4" s="21">
        <f>I3</f>
        <v>0</v>
      </c>
      <c r="J4" s="21">
        <f>COUNTIFS('Data-TSD+1'!$AC:$AC,I$1,'Data-TSD+1'!$E:$E,"Satisfactory (80%)")</f>
        <v>0</v>
      </c>
      <c r="K4" s="27" t="str">
        <f t="shared" ref="K4:K7" si="13">IF(I4 &lt;&gt; 0,J4/I4,"")</f>
        <v/>
      </c>
      <c r="L4" s="21">
        <f>L3</f>
        <v>0</v>
      </c>
      <c r="M4" s="21">
        <f>COUNTIFS('Data-TSD+1'!$AC:$AC,L$1,'Data-TSD+1'!$E:$E,"Satisfactory (80%)")</f>
        <v>0</v>
      </c>
      <c r="N4" s="27" t="str">
        <f t="shared" ref="N4:N7" si="14">IF(L4 &lt;&gt; 0,M4/L4,"")</f>
        <v/>
      </c>
      <c r="O4" s="21">
        <f>O3</f>
        <v>0</v>
      </c>
      <c r="P4" s="21">
        <f>COUNTIFS('Data-TSD+1'!$AC:$AC,O$1,'Data-TSD+1'!$E:$E,"Satisfactory (80%)")</f>
        <v>0</v>
      </c>
      <c r="Q4" s="27" t="str">
        <f t="shared" ref="Q4:Q7" si="15">IF(O4 &lt;&gt; 0,P4/O4,"")</f>
        <v/>
      </c>
      <c r="R4" s="21">
        <f>R3</f>
        <v>0</v>
      </c>
      <c r="S4" s="21">
        <f>COUNTIFS('Data-TSD+1'!$AC:$AC,R$1,'Data-TSD+1'!$E:$E,"Satisfactory (80%)")</f>
        <v>0</v>
      </c>
      <c r="T4" s="27" t="str">
        <f t="shared" ref="T4:T7" si="16">IF(R4 &lt;&gt; 0,S4/R4,"")</f>
        <v/>
      </c>
      <c r="U4" s="21">
        <f>U3</f>
        <v>0</v>
      </c>
      <c r="V4" s="21">
        <f>COUNTIFS('Data-TSD+1'!$AC:$AC,U$1,'Data-TSD+1'!$E:$E,"Satisfactory (80%)")</f>
        <v>0</v>
      </c>
      <c r="W4" s="27" t="str">
        <f t="shared" ref="W4:W7" si="17">IF(U4 &lt;&gt; 0,V4/U4,"")</f>
        <v/>
      </c>
      <c r="X4" s="21">
        <f>X3</f>
        <v>0</v>
      </c>
      <c r="Y4" s="21">
        <f>COUNTIFS('Data-TSD+1'!$AC:$AC,X$1,'Data-TSD+1'!$E:$E,"Satisfactory (80%)")</f>
        <v>0</v>
      </c>
      <c r="Z4" s="27" t="str">
        <f t="shared" ref="Z4:Z7" si="18">IF(X4 &lt;&gt; 0,Y4/X4,"")</f>
        <v/>
      </c>
      <c r="AA4" s="21">
        <f>AA3</f>
        <v>0</v>
      </c>
      <c r="AB4" s="21">
        <f>COUNTIFS('Data-TSD+1'!$AC:$AC,AA$1,'Data-TSD+1'!$E:$E,"Satisfactory (80%)")</f>
        <v>0</v>
      </c>
      <c r="AC4" s="27" t="str">
        <f t="shared" ref="AC4:AC7" si="19">IF(AA4 &lt;&gt; 0,AB4/AA4,"")</f>
        <v/>
      </c>
      <c r="AD4" s="21">
        <f>AD3</f>
        <v>0</v>
      </c>
      <c r="AE4" s="21">
        <f>COUNTIFS('Data-TSD+1'!$AC:$AC,AD$1,'Data-TSD+1'!$E:$E,"Satisfactory (80%)")</f>
        <v>0</v>
      </c>
      <c r="AF4" s="27" t="str">
        <f t="shared" ref="AF4:AF7" si="20">IF(AD4 &lt;&gt; 0,AE4/AD4,"")</f>
        <v/>
      </c>
      <c r="AG4" s="21">
        <f>AG3</f>
        <v>0</v>
      </c>
      <c r="AH4" s="21">
        <f>COUNTIFS('Data-TSD+1'!$AC:$AC,AG$1,'Data-TSD+1'!$E:$E,"Satisfactory (80%)")</f>
        <v>0</v>
      </c>
      <c r="AI4" s="27" t="str">
        <f t="shared" ref="AI4:AI7" si="21">IF(AG4 &lt;&gt; 0,AH4/AG4,"")</f>
        <v/>
      </c>
      <c r="AJ4" s="21">
        <f>AJ3</f>
        <v>0</v>
      </c>
      <c r="AK4" s="21">
        <f>COUNTIFS('Data-TSD+1'!$AC:$AC,AJ$1,'Data-TSD+1'!$E:$E,"Satisfactory (80%)")</f>
        <v>0</v>
      </c>
      <c r="AL4" s="27" t="str">
        <f t="shared" ref="AL4:AL7" si="22">IF(AJ4 &lt;&gt; 0,AK4/AJ4,"")</f>
        <v/>
      </c>
      <c r="AM4" s="21">
        <f>AM3</f>
        <v>0</v>
      </c>
      <c r="AN4" s="21">
        <f>COUNTIFS('Data-TSD+1'!$AC:$AC,AM$1,'Data-TSD+1'!$E:$E,"Satisfactory (80%)")</f>
        <v>0</v>
      </c>
      <c r="AO4" s="27" t="str">
        <f t="shared" ref="AO4:AO7" si="23">IF(AM4 &lt;&gt; 0,AN4/AM4,"")</f>
        <v/>
      </c>
    </row>
    <row r="5" spans="1:41" ht="14.25" customHeight="1" x14ac:dyDescent="0.3">
      <c r="A5" s="25"/>
      <c r="B5" s="33" t="s">
        <v>121</v>
      </c>
      <c r="C5" s="21">
        <f t="shared" ref="C5:C7" si="24">C4</f>
        <v>1</v>
      </c>
      <c r="D5" s="21">
        <f t="shared" si="10"/>
        <v>0</v>
      </c>
      <c r="E5" s="27">
        <f t="shared" si="11"/>
        <v>0</v>
      </c>
      <c r="F5" s="21">
        <f t="shared" ref="F5:F7" si="25">F4</f>
        <v>1</v>
      </c>
      <c r="G5" s="21">
        <f>COUNTIFS('Data-TSD+1'!$AC:$AC,F$1,'Data-TSD+1'!$E:$E,"Average (60%)")</f>
        <v>0</v>
      </c>
      <c r="H5" s="27">
        <f t="shared" si="12"/>
        <v>0</v>
      </c>
      <c r="I5" s="21">
        <f t="shared" ref="I5:I7" si="26">I4</f>
        <v>0</v>
      </c>
      <c r="J5" s="21">
        <f>COUNTIFS('Data-TSD+1'!$AC:$AC,I$1,'Data-TSD+1'!$E:$E,"Average (60%)")</f>
        <v>0</v>
      </c>
      <c r="K5" s="27" t="str">
        <f t="shared" si="13"/>
        <v/>
      </c>
      <c r="L5" s="21">
        <f t="shared" ref="L5:L7" si="27">L4</f>
        <v>0</v>
      </c>
      <c r="M5" s="21">
        <f>COUNTIFS('Data-TSD+1'!$AC:$AC,L$1,'Data-TSD+1'!$E:$E,"Average (60%)")</f>
        <v>0</v>
      </c>
      <c r="N5" s="27" t="str">
        <f t="shared" si="14"/>
        <v/>
      </c>
      <c r="O5" s="21">
        <f t="shared" ref="O5:O7" si="28">O4</f>
        <v>0</v>
      </c>
      <c r="P5" s="21">
        <f>COUNTIFS('Data-TSD+1'!$AC:$AC,O$1,'Data-TSD+1'!$E:$E,"Average (60%)")</f>
        <v>0</v>
      </c>
      <c r="Q5" s="27" t="str">
        <f t="shared" si="15"/>
        <v/>
      </c>
      <c r="R5" s="21">
        <f t="shared" ref="R5:R7" si="29">R4</f>
        <v>0</v>
      </c>
      <c r="S5" s="21">
        <f>COUNTIFS('Data-TSD+1'!$AC:$AC,R$1,'Data-TSD+1'!$E:$E,"Average (60%)")</f>
        <v>0</v>
      </c>
      <c r="T5" s="27" t="str">
        <f t="shared" si="16"/>
        <v/>
      </c>
      <c r="U5" s="21">
        <f t="shared" ref="U5:U7" si="30">U4</f>
        <v>0</v>
      </c>
      <c r="V5" s="21">
        <f>COUNTIFS('Data-TSD+1'!$AC:$AC,U$1,'Data-TSD+1'!$E:$E,"Average (60%)")</f>
        <v>0</v>
      </c>
      <c r="W5" s="27" t="str">
        <f t="shared" si="17"/>
        <v/>
      </c>
      <c r="X5" s="21">
        <f t="shared" ref="X5:X7" si="31">X4</f>
        <v>0</v>
      </c>
      <c r="Y5" s="21">
        <f>COUNTIFS('Data-TSD+1'!$AC:$AC,X$1,'Data-TSD+1'!$E:$E,"Average (60%)")</f>
        <v>0</v>
      </c>
      <c r="Z5" s="27" t="str">
        <f t="shared" si="18"/>
        <v/>
      </c>
      <c r="AA5" s="21">
        <f t="shared" ref="AA5:AA7" si="32">AA4</f>
        <v>0</v>
      </c>
      <c r="AB5" s="21">
        <f>COUNTIFS('Data-TSD+1'!$AC:$AC,AA$1,'Data-TSD+1'!$E:$E,"Average (60%)")</f>
        <v>0</v>
      </c>
      <c r="AC5" s="27" t="str">
        <f t="shared" si="19"/>
        <v/>
      </c>
      <c r="AD5" s="21">
        <f t="shared" ref="AD5:AD7" si="33">AD4</f>
        <v>0</v>
      </c>
      <c r="AE5" s="21">
        <f>COUNTIFS('Data-TSD+1'!$AC:$AC,AD$1,'Data-TSD+1'!$E:$E,"Average (60%)")</f>
        <v>0</v>
      </c>
      <c r="AF5" s="27" t="str">
        <f t="shared" si="20"/>
        <v/>
      </c>
      <c r="AG5" s="21">
        <f t="shared" ref="AG5:AG7" si="34">AG4</f>
        <v>0</v>
      </c>
      <c r="AH5" s="21">
        <f>COUNTIFS('Data-TSD+1'!$AC:$AC,AG$1,'Data-TSD+1'!$E:$E,"Average (60%)")</f>
        <v>0</v>
      </c>
      <c r="AI5" s="27" t="str">
        <f t="shared" si="21"/>
        <v/>
      </c>
      <c r="AJ5" s="21">
        <f t="shared" ref="AJ5:AJ7" si="35">AJ4</f>
        <v>0</v>
      </c>
      <c r="AK5" s="21">
        <f>COUNTIFS('Data-TSD+1'!$AC:$AC,AJ$1,'Data-TSD+1'!$E:$E,"Average (60%)")</f>
        <v>0</v>
      </c>
      <c r="AL5" s="27" t="str">
        <f t="shared" si="22"/>
        <v/>
      </c>
      <c r="AM5" s="21">
        <f t="shared" ref="AM5:AM7" si="36">AM4</f>
        <v>0</v>
      </c>
      <c r="AN5" s="21">
        <f>COUNTIFS('Data-TSD+1'!$AC:$AC,AM$1,'Data-TSD+1'!$E:$E,"Average (60%)")</f>
        <v>0</v>
      </c>
      <c r="AO5" s="27" t="str">
        <f t="shared" si="23"/>
        <v/>
      </c>
    </row>
    <row r="6" spans="1:41" ht="14.25" customHeight="1" x14ac:dyDescent="0.3">
      <c r="A6" s="25"/>
      <c r="B6" s="33" t="s">
        <v>122</v>
      </c>
      <c r="C6" s="21">
        <f t="shared" si="24"/>
        <v>1</v>
      </c>
      <c r="D6" s="21">
        <f t="shared" si="10"/>
        <v>0</v>
      </c>
      <c r="E6" s="27">
        <f t="shared" si="11"/>
        <v>0</v>
      </c>
      <c r="F6" s="21">
        <f t="shared" si="25"/>
        <v>1</v>
      </c>
      <c r="G6" s="21">
        <f>COUNTIFS('Data-TSD+1'!$AC:$AC,F$1,'Data-TSD+1'!$E:$E,"Unsatisfactory (40%)")</f>
        <v>0</v>
      </c>
      <c r="H6" s="27">
        <f t="shared" si="12"/>
        <v>0</v>
      </c>
      <c r="I6" s="21">
        <f t="shared" si="26"/>
        <v>0</v>
      </c>
      <c r="J6" s="21">
        <f>COUNTIFS('Data-TSD+1'!$AC:$AC,I$1,'Data-TSD+1'!$E:$E,"Unsatisfactory (40%)")</f>
        <v>0</v>
      </c>
      <c r="K6" s="27" t="str">
        <f t="shared" si="13"/>
        <v/>
      </c>
      <c r="L6" s="21">
        <f t="shared" si="27"/>
        <v>0</v>
      </c>
      <c r="M6" s="21">
        <f>COUNTIFS('Data-TSD+1'!$AC:$AC,L$1,'Data-TSD+1'!$E:$E,"Unsatisfactory (40%)")</f>
        <v>0</v>
      </c>
      <c r="N6" s="27" t="str">
        <f t="shared" si="14"/>
        <v/>
      </c>
      <c r="O6" s="21">
        <f t="shared" si="28"/>
        <v>0</v>
      </c>
      <c r="P6" s="21">
        <f>COUNTIFS('Data-TSD+1'!$AC:$AC,O$1,'Data-TSD+1'!$E:$E,"Unsatisfactory (40%)")</f>
        <v>0</v>
      </c>
      <c r="Q6" s="27" t="str">
        <f t="shared" si="15"/>
        <v/>
      </c>
      <c r="R6" s="21">
        <f t="shared" si="29"/>
        <v>0</v>
      </c>
      <c r="S6" s="21">
        <f>COUNTIFS('Data-TSD+1'!$AC:$AC,R$1,'Data-TSD+1'!$E:$E,"Unsatisfactory (40%)")</f>
        <v>0</v>
      </c>
      <c r="T6" s="27" t="str">
        <f t="shared" si="16"/>
        <v/>
      </c>
      <c r="U6" s="21">
        <f t="shared" si="30"/>
        <v>0</v>
      </c>
      <c r="V6" s="21">
        <f>COUNTIFS('Data-TSD+1'!$AC:$AC,U$1,'Data-TSD+1'!$E:$E,"Unsatisfactory (40%)")</f>
        <v>0</v>
      </c>
      <c r="W6" s="27" t="str">
        <f t="shared" si="17"/>
        <v/>
      </c>
      <c r="X6" s="21">
        <f t="shared" si="31"/>
        <v>0</v>
      </c>
      <c r="Y6" s="21">
        <f>COUNTIFS('Data-TSD+1'!$AC:$AC,X$1,'Data-TSD+1'!$E:$E,"Unsatisfactory (40%)")</f>
        <v>0</v>
      </c>
      <c r="Z6" s="27" t="str">
        <f t="shared" si="18"/>
        <v/>
      </c>
      <c r="AA6" s="21">
        <f t="shared" si="32"/>
        <v>0</v>
      </c>
      <c r="AB6" s="21">
        <f>COUNTIFS('Data-TSD+1'!$AC:$AC,AA$1,'Data-TSD+1'!$E:$E,"Unsatisfactory (40%)")</f>
        <v>0</v>
      </c>
      <c r="AC6" s="27" t="str">
        <f t="shared" si="19"/>
        <v/>
      </c>
      <c r="AD6" s="21">
        <f t="shared" si="33"/>
        <v>0</v>
      </c>
      <c r="AE6" s="21">
        <f>COUNTIFS('Data-TSD+1'!$AC:$AC,AD$1,'Data-TSD+1'!$E:$E,"Unsatisfactory (40%)")</f>
        <v>0</v>
      </c>
      <c r="AF6" s="27" t="str">
        <f t="shared" si="20"/>
        <v/>
      </c>
      <c r="AG6" s="21">
        <f t="shared" si="34"/>
        <v>0</v>
      </c>
      <c r="AH6" s="21">
        <f>COUNTIFS('Data-TSD+1'!$AC:$AC,AG$1,'Data-TSD+1'!$E:$E,"Unsatisfactory (40%)")</f>
        <v>0</v>
      </c>
      <c r="AI6" s="27" t="str">
        <f t="shared" si="21"/>
        <v/>
      </c>
      <c r="AJ6" s="21">
        <f t="shared" si="35"/>
        <v>0</v>
      </c>
      <c r="AK6" s="21">
        <f>COUNTIFS('Data-TSD+1'!$AC:$AC,AJ$1,'Data-TSD+1'!$E:$E,"Unsatisfactory (40%)")</f>
        <v>0</v>
      </c>
      <c r="AL6" s="27" t="str">
        <f t="shared" si="22"/>
        <v/>
      </c>
      <c r="AM6" s="21">
        <f t="shared" si="36"/>
        <v>0</v>
      </c>
      <c r="AN6" s="21">
        <f>COUNTIFS('Data-TSD+1'!$AC:$AC,AM$1,'Data-TSD+1'!$E:$E,"Unsatisfactory (40%)")</f>
        <v>0</v>
      </c>
      <c r="AO6" s="27" t="str">
        <f t="shared" si="23"/>
        <v/>
      </c>
    </row>
    <row r="7" spans="1:41" ht="14.25" customHeight="1" x14ac:dyDescent="0.3">
      <c r="A7" s="25"/>
      <c r="B7" s="33" t="s">
        <v>123</v>
      </c>
      <c r="C7" s="21">
        <f t="shared" si="24"/>
        <v>1</v>
      </c>
      <c r="D7" s="21">
        <f t="shared" si="10"/>
        <v>0</v>
      </c>
      <c r="E7" s="27">
        <f t="shared" si="11"/>
        <v>0</v>
      </c>
      <c r="F7" s="21">
        <f t="shared" si="25"/>
        <v>1</v>
      </c>
      <c r="G7" s="21">
        <f>COUNTIFS('Data-TSD+1'!$AC:$AC,F$1,'Data-TSD+1'!$E:$E,"Very unsatisfactory (20%)")</f>
        <v>0</v>
      </c>
      <c r="H7" s="27">
        <f t="shared" si="12"/>
        <v>0</v>
      </c>
      <c r="I7" s="21">
        <f t="shared" si="26"/>
        <v>0</v>
      </c>
      <c r="J7" s="21">
        <f>COUNTIFS('Data-TSD+1'!$AC:$AC,I$1,'Data-TSD+1'!$E:$E,"Very unsatisfactory (20%)")</f>
        <v>0</v>
      </c>
      <c r="K7" s="27" t="str">
        <f t="shared" si="13"/>
        <v/>
      </c>
      <c r="L7" s="21">
        <f t="shared" si="27"/>
        <v>0</v>
      </c>
      <c r="M7" s="21">
        <f>COUNTIFS('Data-TSD+1'!$AC:$AC,L$1,'Data-TSD+1'!$E:$E,"Very unsatisfactory (20%)")</f>
        <v>0</v>
      </c>
      <c r="N7" s="27" t="str">
        <f t="shared" si="14"/>
        <v/>
      </c>
      <c r="O7" s="21">
        <f t="shared" si="28"/>
        <v>0</v>
      </c>
      <c r="P7" s="21">
        <f>COUNTIFS('Data-TSD+1'!$AC:$AC,O$1,'Data-TSD+1'!$E:$E,"Very unsatisfactory (20%)")</f>
        <v>0</v>
      </c>
      <c r="Q7" s="27" t="str">
        <f t="shared" si="15"/>
        <v/>
      </c>
      <c r="R7" s="21">
        <f t="shared" si="29"/>
        <v>0</v>
      </c>
      <c r="S7" s="21">
        <f>COUNTIFS('Data-TSD+1'!$AC:$AC,R$1,'Data-TSD+1'!$E:$E,"Very unsatisfactory (20%)")</f>
        <v>0</v>
      </c>
      <c r="T7" s="27" t="str">
        <f t="shared" si="16"/>
        <v/>
      </c>
      <c r="U7" s="21">
        <f t="shared" si="30"/>
        <v>0</v>
      </c>
      <c r="V7" s="21">
        <f>COUNTIFS('Data-TSD+1'!$AC:$AC,U$1,'Data-TSD+1'!$E:$E,"Very unsatisfactory (20%)")</f>
        <v>0</v>
      </c>
      <c r="W7" s="27" t="str">
        <f t="shared" si="17"/>
        <v/>
      </c>
      <c r="X7" s="21">
        <f t="shared" si="31"/>
        <v>0</v>
      </c>
      <c r="Y7" s="21">
        <f>COUNTIFS('Data-TSD+1'!$AC:$AC,X$1,'Data-TSD+1'!$E:$E,"Very unsatisfactory (20%)")</f>
        <v>0</v>
      </c>
      <c r="Z7" s="27" t="str">
        <f t="shared" si="18"/>
        <v/>
      </c>
      <c r="AA7" s="21">
        <f t="shared" si="32"/>
        <v>0</v>
      </c>
      <c r="AB7" s="21">
        <f>COUNTIFS('Data-TSD+1'!$AC:$AC,AA$1,'Data-TSD+1'!$E:$E,"Very unsatisfactory (20%)")</f>
        <v>0</v>
      </c>
      <c r="AC7" s="27" t="str">
        <f t="shared" si="19"/>
        <v/>
      </c>
      <c r="AD7" s="21">
        <f t="shared" si="33"/>
        <v>0</v>
      </c>
      <c r="AE7" s="21">
        <f>COUNTIFS('Data-TSD+1'!$AC:$AC,AD$1,'Data-TSD+1'!$E:$E,"Very unsatisfactory (20%)")</f>
        <v>0</v>
      </c>
      <c r="AF7" s="27" t="str">
        <f t="shared" si="20"/>
        <v/>
      </c>
      <c r="AG7" s="21">
        <f t="shared" si="34"/>
        <v>0</v>
      </c>
      <c r="AH7" s="21">
        <f>COUNTIFS('Data-TSD+1'!$AC:$AC,AG$1,'Data-TSD+1'!$E:$E,"Very unsatisfactory (20%)")</f>
        <v>0</v>
      </c>
      <c r="AI7" s="27" t="str">
        <f t="shared" si="21"/>
        <v/>
      </c>
      <c r="AJ7" s="21">
        <f t="shared" si="35"/>
        <v>0</v>
      </c>
      <c r="AK7" s="21">
        <f>COUNTIFS('Data-TSD+1'!$AC:$AC,AJ$1,'Data-TSD+1'!$E:$E,"Very unsatisfactory (20%)")</f>
        <v>0</v>
      </c>
      <c r="AL7" s="27" t="str">
        <f t="shared" si="22"/>
        <v/>
      </c>
      <c r="AM7" s="21">
        <f t="shared" si="36"/>
        <v>0</v>
      </c>
      <c r="AN7" s="21">
        <f>COUNTIFS('Data-TSD+1'!$AC:$AC,AM$1,'Data-TSD+1'!$E:$E,"Very unsatisfactory (20%)")</f>
        <v>0</v>
      </c>
      <c r="AO7" s="27" t="str">
        <f t="shared" si="23"/>
        <v/>
      </c>
    </row>
    <row r="8" spans="1:41" x14ac:dyDescent="0.3">
      <c r="A8" s="21">
        <v>2</v>
      </c>
      <c r="B8" s="28" t="s">
        <v>70</v>
      </c>
      <c r="C8" s="23"/>
      <c r="D8" s="21"/>
      <c r="E8" s="24"/>
      <c r="F8" s="23"/>
      <c r="G8" s="23"/>
      <c r="H8" s="24"/>
      <c r="I8" s="23"/>
      <c r="J8" s="23"/>
      <c r="K8" s="24"/>
      <c r="L8" s="23"/>
      <c r="M8" s="23"/>
      <c r="N8" s="24"/>
      <c r="O8" s="23"/>
      <c r="P8" s="23"/>
      <c r="Q8" s="24"/>
      <c r="R8" s="23"/>
      <c r="S8" s="23"/>
      <c r="T8" s="24"/>
      <c r="U8" s="23"/>
      <c r="V8" s="23"/>
      <c r="W8" s="24"/>
      <c r="X8" s="23"/>
      <c r="Y8" s="23"/>
      <c r="Z8" s="24"/>
      <c r="AA8" s="23"/>
      <c r="AB8" s="23"/>
      <c r="AC8" s="24"/>
      <c r="AD8" s="23"/>
      <c r="AE8" s="23"/>
      <c r="AF8" s="24"/>
      <c r="AG8" s="23"/>
      <c r="AH8" s="23"/>
      <c r="AI8" s="24"/>
      <c r="AJ8" s="23"/>
      <c r="AK8" s="23"/>
      <c r="AL8" s="24"/>
      <c r="AM8" s="23"/>
      <c r="AN8" s="23"/>
      <c r="AO8" s="24"/>
    </row>
    <row r="9" spans="1:41" ht="14.25" customHeight="1" x14ac:dyDescent="0.3">
      <c r="A9" s="25"/>
      <c r="B9" s="33" t="s">
        <v>119</v>
      </c>
      <c r="C9" s="21">
        <f>COUNTIF('Data-TSD+1'!$F:$F,"&lt;&gt;" &amp; "")-1</f>
        <v>1</v>
      </c>
      <c r="D9" s="21">
        <f>G9+J9+M9+P9+S9+V9+Y9+AB9+AE9+AH9+AK9+AN9</f>
        <v>1</v>
      </c>
      <c r="E9" s="27">
        <f t="shared" ref="E9:E31" si="37">IF(C9 &lt;&gt; 0,D9/C9,"")</f>
        <v>1</v>
      </c>
      <c r="F9" s="21">
        <f>COUNTIFS('Data-TSD+1'!$AC:$AC,F$1,'Data-TSD+1'!$F:$F,"&lt;&gt;" &amp; "")</f>
        <v>1</v>
      </c>
      <c r="G9" s="21">
        <f>COUNTIFS('Data-TSD+1'!$AC:$AC,F$1,'Data-TSD+1'!$F:$F,"Very satisfactory (100%)")</f>
        <v>1</v>
      </c>
      <c r="H9" s="27">
        <f t="shared" ref="H9:H31" si="38">IF(F9 &lt;&gt; 0,G9/F9,"")</f>
        <v>1</v>
      </c>
      <c r="I9" s="21">
        <f>COUNTIFS('Data-TSD+1'!$AC:$AC,I$1,'Data-TSD+1'!$F:$F,"&lt;&gt;" &amp; "")</f>
        <v>0</v>
      </c>
      <c r="J9" s="21">
        <f>COUNTIFS('Data-TSD+1'!$AC:$AC,I$1,'Data-TSD+1'!$F:$F,"Very satisfactory (100%)")</f>
        <v>0</v>
      </c>
      <c r="K9" s="27" t="str">
        <f t="shared" ref="K9:K13" si="39">IF(I9 &lt;&gt; 0,J9/I9,"")</f>
        <v/>
      </c>
      <c r="L9" s="21">
        <f>COUNTIFS('Data-TSD+1'!$AC:$AC,L$1,'Data-TSD+1'!$F:$F,"&lt;&gt;" &amp; "")</f>
        <v>0</v>
      </c>
      <c r="M9" s="21">
        <f>COUNTIFS('Data-TSD+1'!$AC:$AC,L$1,'Data-TSD+1'!$F:$F,"Very satisfactory (100%)")</f>
        <v>0</v>
      </c>
      <c r="N9" s="27" t="str">
        <f t="shared" ref="N9:N13" si="40">IF(L9 &lt;&gt; 0,M9/L9,"")</f>
        <v/>
      </c>
      <c r="O9" s="21">
        <f>COUNTIFS('Data-TSD+1'!$AC:$AC,O$1,'Data-TSD+1'!$F:$F,"&lt;&gt;" &amp; "")</f>
        <v>0</v>
      </c>
      <c r="P9" s="21">
        <f>COUNTIFS('Data-TSD+1'!$AC:$AC,O$1,'Data-TSD+1'!$F:$F,"Very satisfactory (100%)")</f>
        <v>0</v>
      </c>
      <c r="Q9" s="27" t="str">
        <f t="shared" ref="Q9:Q13" si="41">IF(O9 &lt;&gt; 0,P9/O9,"")</f>
        <v/>
      </c>
      <c r="R9" s="21">
        <f>COUNTIFS('Data-TSD+1'!$AC:$AC,R$1,'Data-TSD+1'!$F:$F,"&lt;&gt;" &amp; "")</f>
        <v>0</v>
      </c>
      <c r="S9" s="21">
        <f>COUNTIFS('Data-TSD+1'!$AC:$AC,R$1,'Data-TSD+1'!$F:$F,"Very satisfactory (100%)")</f>
        <v>0</v>
      </c>
      <c r="T9" s="27" t="str">
        <f t="shared" ref="T9:T13" si="42">IF(R9 &lt;&gt; 0,S9/R9,"")</f>
        <v/>
      </c>
      <c r="U9" s="21">
        <f>COUNTIFS('Data-TSD+1'!$AC:$AC,U$1,'Data-TSD+1'!$F:$F,"&lt;&gt;" &amp; "")</f>
        <v>0</v>
      </c>
      <c r="V9" s="21">
        <f>COUNTIFS('Data-TSD+1'!$AC:$AC,U$1,'Data-TSD+1'!$F:$F,"Very satisfactory (100%)")</f>
        <v>0</v>
      </c>
      <c r="W9" s="27" t="str">
        <f t="shared" ref="W9:W13" si="43">IF(U9 &lt;&gt; 0,V9/U9,"")</f>
        <v/>
      </c>
      <c r="X9" s="21">
        <f>COUNTIFS('Data-TSD+1'!$AC:$AC,X$1,'Data-TSD+1'!$F:$F,"&lt;&gt;" &amp; "")</f>
        <v>0</v>
      </c>
      <c r="Y9" s="21">
        <f>COUNTIFS('Data-TSD+1'!$AC:$AC,X$1,'Data-TSD+1'!$F:$F,"Very satisfactory (100%)")</f>
        <v>0</v>
      </c>
      <c r="Z9" s="27" t="str">
        <f t="shared" ref="Z9:Z13" si="44">IF(X9 &lt;&gt; 0,Y9/X9,"")</f>
        <v/>
      </c>
      <c r="AA9" s="21">
        <f>COUNTIFS('Data-TSD+1'!$AC:$AC,AA$1,'Data-TSD+1'!$F:$F,"&lt;&gt;" &amp; "")</f>
        <v>0</v>
      </c>
      <c r="AB9" s="21">
        <f>COUNTIFS('Data-TSD+1'!$AC:$AC,AA$1,'Data-TSD+1'!$F:$F,"Very satisfactory (100%)")</f>
        <v>0</v>
      </c>
      <c r="AC9" s="27" t="str">
        <f t="shared" ref="AC9:AC13" si="45">IF(AA9 &lt;&gt; 0,AB9/AA9,"")</f>
        <v/>
      </c>
      <c r="AD9" s="21">
        <f>COUNTIFS('Data-TSD+1'!$AC:$AC,AD$1,'Data-TSD+1'!$F:$F,"&lt;&gt;" &amp; "")</f>
        <v>0</v>
      </c>
      <c r="AE9" s="21">
        <f>COUNTIFS('Data-TSD+1'!$AC:$AC,AD$1,'Data-TSD+1'!$F:$F,"Very satisfactory (100%)")</f>
        <v>0</v>
      </c>
      <c r="AF9" s="27" t="str">
        <f t="shared" ref="AF9:AF13" si="46">IF(AD9 &lt;&gt; 0,AE9/AD9,"")</f>
        <v/>
      </c>
      <c r="AG9" s="21">
        <f>COUNTIFS('Data-TSD+1'!$AC:$AC,AG$1,'Data-TSD+1'!$F:$F,"&lt;&gt;" &amp; "")</f>
        <v>0</v>
      </c>
      <c r="AH9" s="21">
        <f>COUNTIFS('Data-TSD+1'!$AC:$AC,AG$1,'Data-TSD+1'!$F:$F,"Very satisfactory (100%)")</f>
        <v>0</v>
      </c>
      <c r="AI9" s="27" t="str">
        <f t="shared" ref="AI9:AI13" si="47">IF(AG9 &lt;&gt; 0,AH9/AG9,"")</f>
        <v/>
      </c>
      <c r="AJ9" s="21">
        <f>COUNTIFS('Data-TSD+1'!$AC:$AC,AJ$1,'Data-TSD+1'!$F:$F,"&lt;&gt;" &amp; "")</f>
        <v>0</v>
      </c>
      <c r="AK9" s="21">
        <f>COUNTIFS('Data-TSD+1'!$AC:$AC,AJ$1,'Data-TSD+1'!$F:$F,"Very satisfactory (100%)")</f>
        <v>0</v>
      </c>
      <c r="AL9" s="27" t="str">
        <f t="shared" ref="AL9:AL13" si="48">IF(AJ9 &lt;&gt; 0,AK9/AJ9,"")</f>
        <v/>
      </c>
      <c r="AM9" s="21">
        <f>COUNTIFS('Data-TSD+1'!$AC:$AC,AM$1,'Data-TSD+1'!$F:$F,"&lt;&gt;" &amp; "")</f>
        <v>0</v>
      </c>
      <c r="AN9" s="21">
        <f>COUNTIFS('Data-TSD+1'!$AC:$AC,AM$1,'Data-TSD+1'!$F:$F,"Very satisfactory (100%)")</f>
        <v>0</v>
      </c>
      <c r="AO9" s="27" t="str">
        <f t="shared" ref="AO9:AO13" si="49">IF(AM9 &lt;&gt; 0,AN9/AM9,"")</f>
        <v/>
      </c>
    </row>
    <row r="10" spans="1:41" ht="14.25" customHeight="1" x14ac:dyDescent="0.3">
      <c r="A10" s="25"/>
      <c r="B10" s="33" t="s">
        <v>120</v>
      </c>
      <c r="C10" s="21">
        <f>C9</f>
        <v>1</v>
      </c>
      <c r="D10" s="21">
        <f t="shared" ref="D10:D13" si="50">G10+J10+M10+P10+S10+V10+Y10+AB10+AE10+AH10+AK10+AN10</f>
        <v>0</v>
      </c>
      <c r="E10" s="27">
        <f t="shared" si="37"/>
        <v>0</v>
      </c>
      <c r="F10" s="21">
        <f>F9</f>
        <v>1</v>
      </c>
      <c r="G10" s="21">
        <f>COUNTIFS('Data-TSD+1'!$AC:$AC,F$1,'Data-TSD+1'!$F:$F,"Satisfactory (80%)")</f>
        <v>0</v>
      </c>
      <c r="H10" s="27">
        <f t="shared" si="38"/>
        <v>0</v>
      </c>
      <c r="I10" s="21">
        <f>I9</f>
        <v>0</v>
      </c>
      <c r="J10" s="21">
        <f>COUNTIFS('Data-TSD+1'!$AC:$AC,I$1,'Data-TSD+1'!$F:$F,"Satisfactory (80%)")</f>
        <v>0</v>
      </c>
      <c r="K10" s="27" t="str">
        <f t="shared" si="39"/>
        <v/>
      </c>
      <c r="L10" s="21">
        <f>L9</f>
        <v>0</v>
      </c>
      <c r="M10" s="21">
        <f>COUNTIFS('Data-TSD+1'!$AC:$AC,L$1,'Data-TSD+1'!$F:$F,"Satisfactory (80%)")</f>
        <v>0</v>
      </c>
      <c r="N10" s="27" t="str">
        <f t="shared" si="40"/>
        <v/>
      </c>
      <c r="O10" s="21">
        <f>O9</f>
        <v>0</v>
      </c>
      <c r="P10" s="21">
        <f>COUNTIFS('Data-TSD+1'!$AC:$AC,O$1,'Data-TSD+1'!$F:$F,"Satisfactory (80%)")</f>
        <v>0</v>
      </c>
      <c r="Q10" s="27" t="str">
        <f t="shared" si="41"/>
        <v/>
      </c>
      <c r="R10" s="21">
        <f>R9</f>
        <v>0</v>
      </c>
      <c r="S10" s="21">
        <f>COUNTIFS('Data-TSD+1'!$AC:$AC,R$1,'Data-TSD+1'!$F:$F,"Satisfactory (80%)")</f>
        <v>0</v>
      </c>
      <c r="T10" s="27" t="str">
        <f t="shared" si="42"/>
        <v/>
      </c>
      <c r="U10" s="21">
        <f>U9</f>
        <v>0</v>
      </c>
      <c r="V10" s="21">
        <f>COUNTIFS('Data-TSD+1'!$AC:$AC,U$1,'Data-TSD+1'!$F:$F,"Satisfactory (80%)")</f>
        <v>0</v>
      </c>
      <c r="W10" s="27" t="str">
        <f t="shared" si="43"/>
        <v/>
      </c>
      <c r="X10" s="21">
        <f>X9</f>
        <v>0</v>
      </c>
      <c r="Y10" s="21">
        <f>COUNTIFS('Data-TSD+1'!$AC:$AC,X$1,'Data-TSD+1'!$F:$F,"Satisfactory (80%)")</f>
        <v>0</v>
      </c>
      <c r="Z10" s="27" t="str">
        <f t="shared" si="44"/>
        <v/>
      </c>
      <c r="AA10" s="21">
        <f>AA9</f>
        <v>0</v>
      </c>
      <c r="AB10" s="21">
        <f>COUNTIFS('Data-TSD+1'!$AC:$AC,AA$1,'Data-TSD+1'!$F:$F,"Satisfactory (80%)")</f>
        <v>0</v>
      </c>
      <c r="AC10" s="27" t="str">
        <f t="shared" si="45"/>
        <v/>
      </c>
      <c r="AD10" s="21">
        <f>AD9</f>
        <v>0</v>
      </c>
      <c r="AE10" s="21">
        <f>COUNTIFS('Data-TSD+1'!$AC:$AC,AD$1,'Data-TSD+1'!$F:$F,"Satisfactory (80%)")</f>
        <v>0</v>
      </c>
      <c r="AF10" s="27" t="str">
        <f t="shared" si="46"/>
        <v/>
      </c>
      <c r="AG10" s="21">
        <f>AG9</f>
        <v>0</v>
      </c>
      <c r="AH10" s="21">
        <f>COUNTIFS('Data-TSD+1'!$AC:$AC,AG$1,'Data-TSD+1'!$F:$F,"Satisfactory (80%)")</f>
        <v>0</v>
      </c>
      <c r="AI10" s="27" t="str">
        <f t="shared" si="47"/>
        <v/>
      </c>
      <c r="AJ10" s="21">
        <f>AJ9</f>
        <v>0</v>
      </c>
      <c r="AK10" s="21">
        <f>COUNTIFS('Data-TSD+1'!$AC:$AC,AJ$1,'Data-TSD+1'!$F:$F,"Satisfactory (80%)")</f>
        <v>0</v>
      </c>
      <c r="AL10" s="27" t="str">
        <f t="shared" si="48"/>
        <v/>
      </c>
      <c r="AM10" s="21">
        <f>AM9</f>
        <v>0</v>
      </c>
      <c r="AN10" s="21">
        <f>COUNTIFS('Data-TSD+1'!$AC:$AC,AM$1,'Data-TSD+1'!$F:$F,"Satisfactory (80%)")</f>
        <v>0</v>
      </c>
      <c r="AO10" s="27" t="str">
        <f t="shared" si="49"/>
        <v/>
      </c>
    </row>
    <row r="11" spans="1:41" ht="14.25" customHeight="1" x14ac:dyDescent="0.3">
      <c r="A11" s="25"/>
      <c r="B11" s="33" t="s">
        <v>121</v>
      </c>
      <c r="C11" s="21">
        <f t="shared" ref="C11:C13" si="51">C10</f>
        <v>1</v>
      </c>
      <c r="D11" s="21">
        <f t="shared" si="50"/>
        <v>0</v>
      </c>
      <c r="E11" s="27">
        <f t="shared" si="37"/>
        <v>0</v>
      </c>
      <c r="F11" s="21">
        <f t="shared" ref="F11:F13" si="52">F10</f>
        <v>1</v>
      </c>
      <c r="G11" s="21">
        <f>COUNTIFS('Data-TSD+1'!$AC:$AC,F$1,'Data-TSD+1'!$F:$F,"Average (60%)")</f>
        <v>0</v>
      </c>
      <c r="H11" s="27">
        <f t="shared" si="38"/>
        <v>0</v>
      </c>
      <c r="I11" s="21">
        <f t="shared" ref="I11:I13" si="53">I10</f>
        <v>0</v>
      </c>
      <c r="J11" s="21">
        <f>COUNTIFS('Data-TSD+1'!$AC:$AC,I$1,'Data-TSD+1'!$F:$F,"Average (60%)")</f>
        <v>0</v>
      </c>
      <c r="K11" s="27" t="str">
        <f t="shared" si="39"/>
        <v/>
      </c>
      <c r="L11" s="21">
        <f t="shared" ref="L11:L13" si="54">L10</f>
        <v>0</v>
      </c>
      <c r="M11" s="21">
        <f>COUNTIFS('Data-TSD+1'!$AC:$AC,L$1,'Data-TSD+1'!$F:$F,"Average (60%)")</f>
        <v>0</v>
      </c>
      <c r="N11" s="27" t="str">
        <f t="shared" si="40"/>
        <v/>
      </c>
      <c r="O11" s="21">
        <f t="shared" ref="O11:O13" si="55">O10</f>
        <v>0</v>
      </c>
      <c r="P11" s="21">
        <f>COUNTIFS('Data-TSD+1'!$AC:$AC,O$1,'Data-TSD+1'!$F:$F,"Average (60%)")</f>
        <v>0</v>
      </c>
      <c r="Q11" s="27" t="str">
        <f t="shared" si="41"/>
        <v/>
      </c>
      <c r="R11" s="21">
        <f t="shared" ref="R11:R13" si="56">R10</f>
        <v>0</v>
      </c>
      <c r="S11" s="21">
        <f>COUNTIFS('Data-TSD+1'!$AC:$AC,R$1,'Data-TSD+1'!$F:$F,"Average (60%)")</f>
        <v>0</v>
      </c>
      <c r="T11" s="27" t="str">
        <f t="shared" si="42"/>
        <v/>
      </c>
      <c r="U11" s="21">
        <f t="shared" ref="U11:U13" si="57">U10</f>
        <v>0</v>
      </c>
      <c r="V11" s="21">
        <f>COUNTIFS('Data-TSD+1'!$AC:$AC,U$1,'Data-TSD+1'!$F:$F,"Average (60%)")</f>
        <v>0</v>
      </c>
      <c r="W11" s="27" t="str">
        <f t="shared" si="43"/>
        <v/>
      </c>
      <c r="X11" s="21">
        <f t="shared" ref="X11:X13" si="58">X10</f>
        <v>0</v>
      </c>
      <c r="Y11" s="21">
        <f>COUNTIFS('Data-TSD+1'!$AC:$AC,X$1,'Data-TSD+1'!$F:$F,"Average (60%)")</f>
        <v>0</v>
      </c>
      <c r="Z11" s="27" t="str">
        <f t="shared" si="44"/>
        <v/>
      </c>
      <c r="AA11" s="21">
        <f t="shared" ref="AA11:AA13" si="59">AA10</f>
        <v>0</v>
      </c>
      <c r="AB11" s="21">
        <f>COUNTIFS('Data-TSD+1'!$AC:$AC,AA$1,'Data-TSD+1'!$F:$F,"Average (60%)")</f>
        <v>0</v>
      </c>
      <c r="AC11" s="27" t="str">
        <f t="shared" si="45"/>
        <v/>
      </c>
      <c r="AD11" s="21">
        <f t="shared" ref="AD11:AD13" si="60">AD10</f>
        <v>0</v>
      </c>
      <c r="AE11" s="21">
        <f>COUNTIFS('Data-TSD+1'!$AC:$AC,AD$1,'Data-TSD+1'!$F:$F,"Average (60%)")</f>
        <v>0</v>
      </c>
      <c r="AF11" s="27" t="str">
        <f t="shared" si="46"/>
        <v/>
      </c>
      <c r="AG11" s="21">
        <f t="shared" ref="AG11:AG13" si="61">AG10</f>
        <v>0</v>
      </c>
      <c r="AH11" s="21">
        <f>COUNTIFS('Data-TSD+1'!$AC:$AC,AG$1,'Data-TSD+1'!$F:$F,"Average (60%)")</f>
        <v>0</v>
      </c>
      <c r="AI11" s="27" t="str">
        <f t="shared" si="47"/>
        <v/>
      </c>
      <c r="AJ11" s="21">
        <f t="shared" ref="AJ11:AJ13" si="62">AJ10</f>
        <v>0</v>
      </c>
      <c r="AK11" s="21">
        <f>COUNTIFS('Data-TSD+1'!$AC:$AC,AJ$1,'Data-TSD+1'!$F:$F,"Average (60%)")</f>
        <v>0</v>
      </c>
      <c r="AL11" s="27" t="str">
        <f t="shared" si="48"/>
        <v/>
      </c>
      <c r="AM11" s="21">
        <f t="shared" ref="AM11:AM13" si="63">AM10</f>
        <v>0</v>
      </c>
      <c r="AN11" s="21">
        <f>COUNTIFS('Data-TSD+1'!$AC:$AC,AM$1,'Data-TSD+1'!$F:$F,"Average (60%)")</f>
        <v>0</v>
      </c>
      <c r="AO11" s="27" t="str">
        <f t="shared" si="49"/>
        <v/>
      </c>
    </row>
    <row r="12" spans="1:41" ht="14.25" customHeight="1" x14ac:dyDescent="0.3">
      <c r="A12" s="25"/>
      <c r="B12" s="33" t="s">
        <v>122</v>
      </c>
      <c r="C12" s="21">
        <f t="shared" si="51"/>
        <v>1</v>
      </c>
      <c r="D12" s="21">
        <f t="shared" si="50"/>
        <v>0</v>
      </c>
      <c r="E12" s="27">
        <f t="shared" si="37"/>
        <v>0</v>
      </c>
      <c r="F12" s="21">
        <f t="shared" si="52"/>
        <v>1</v>
      </c>
      <c r="G12" s="21">
        <f>COUNTIFS('Data-TSD+1'!$AC:$AC,F$1,'Data-TSD+1'!$F:$F,"Unsatisfactory (40%)")</f>
        <v>0</v>
      </c>
      <c r="H12" s="27">
        <f t="shared" si="38"/>
        <v>0</v>
      </c>
      <c r="I12" s="21">
        <f t="shared" si="53"/>
        <v>0</v>
      </c>
      <c r="J12" s="21">
        <f>COUNTIFS('Data-TSD+1'!$AC:$AC,I$1,'Data-TSD+1'!$F:$F,"Unsatisfactory (40%)")</f>
        <v>0</v>
      </c>
      <c r="K12" s="27" t="str">
        <f t="shared" si="39"/>
        <v/>
      </c>
      <c r="L12" s="21">
        <f t="shared" si="54"/>
        <v>0</v>
      </c>
      <c r="M12" s="21">
        <f>COUNTIFS('Data-TSD+1'!$AC:$AC,L$1,'Data-TSD+1'!$F:$F,"Unsatisfactory (40%)")</f>
        <v>0</v>
      </c>
      <c r="N12" s="27" t="str">
        <f t="shared" si="40"/>
        <v/>
      </c>
      <c r="O12" s="21">
        <f t="shared" si="55"/>
        <v>0</v>
      </c>
      <c r="P12" s="21">
        <f>COUNTIFS('Data-TSD+1'!$AC:$AC,O$1,'Data-TSD+1'!$F:$F,"Unsatisfactory (40%)")</f>
        <v>0</v>
      </c>
      <c r="Q12" s="27" t="str">
        <f t="shared" si="41"/>
        <v/>
      </c>
      <c r="R12" s="21">
        <f t="shared" si="56"/>
        <v>0</v>
      </c>
      <c r="S12" s="21">
        <f>COUNTIFS('Data-TSD+1'!$AC:$AC,R$1,'Data-TSD+1'!$F:$F,"Unsatisfactory (40%)")</f>
        <v>0</v>
      </c>
      <c r="T12" s="27" t="str">
        <f t="shared" si="42"/>
        <v/>
      </c>
      <c r="U12" s="21">
        <f t="shared" si="57"/>
        <v>0</v>
      </c>
      <c r="V12" s="21">
        <f>COUNTIFS('Data-TSD+1'!$AC:$AC,U$1,'Data-TSD+1'!$F:$F,"Unsatisfactory (40%)")</f>
        <v>0</v>
      </c>
      <c r="W12" s="27" t="str">
        <f t="shared" si="43"/>
        <v/>
      </c>
      <c r="X12" s="21">
        <f t="shared" si="58"/>
        <v>0</v>
      </c>
      <c r="Y12" s="21">
        <f>COUNTIFS('Data-TSD+1'!$AC:$AC,X$1,'Data-TSD+1'!$F:$F,"Unsatisfactory (40%)")</f>
        <v>0</v>
      </c>
      <c r="Z12" s="27" t="str">
        <f t="shared" si="44"/>
        <v/>
      </c>
      <c r="AA12" s="21">
        <f t="shared" si="59"/>
        <v>0</v>
      </c>
      <c r="AB12" s="21">
        <f>COUNTIFS('Data-TSD+1'!$AC:$AC,AA$1,'Data-TSD+1'!$F:$F,"Unsatisfactory (40%)")</f>
        <v>0</v>
      </c>
      <c r="AC12" s="27" t="str">
        <f t="shared" si="45"/>
        <v/>
      </c>
      <c r="AD12" s="21">
        <f t="shared" si="60"/>
        <v>0</v>
      </c>
      <c r="AE12" s="21">
        <f>COUNTIFS('Data-TSD+1'!$AC:$AC,AD$1,'Data-TSD+1'!$F:$F,"Unsatisfactory (40%)")</f>
        <v>0</v>
      </c>
      <c r="AF12" s="27" t="str">
        <f t="shared" si="46"/>
        <v/>
      </c>
      <c r="AG12" s="21">
        <f t="shared" si="61"/>
        <v>0</v>
      </c>
      <c r="AH12" s="21">
        <f>COUNTIFS('Data-TSD+1'!$AC:$AC,AG$1,'Data-TSD+1'!$F:$F,"Unsatisfactory (40%)")</f>
        <v>0</v>
      </c>
      <c r="AI12" s="27" t="str">
        <f t="shared" si="47"/>
        <v/>
      </c>
      <c r="AJ12" s="21">
        <f t="shared" si="62"/>
        <v>0</v>
      </c>
      <c r="AK12" s="21">
        <f>COUNTIFS('Data-TSD+1'!$AC:$AC,AJ$1,'Data-TSD+1'!$F:$F,"Unsatisfactory (40%)")</f>
        <v>0</v>
      </c>
      <c r="AL12" s="27" t="str">
        <f t="shared" si="48"/>
        <v/>
      </c>
      <c r="AM12" s="21">
        <f t="shared" si="63"/>
        <v>0</v>
      </c>
      <c r="AN12" s="21">
        <f>COUNTIFS('Data-TSD+1'!$AC:$AC,AM$1,'Data-TSD+1'!$F:$F,"Unsatisfactory (40%)")</f>
        <v>0</v>
      </c>
      <c r="AO12" s="27" t="str">
        <f t="shared" si="49"/>
        <v/>
      </c>
    </row>
    <row r="13" spans="1:41" ht="14.25" customHeight="1" x14ac:dyDescent="0.3">
      <c r="A13" s="25"/>
      <c r="B13" s="33" t="s">
        <v>123</v>
      </c>
      <c r="C13" s="21">
        <f t="shared" si="51"/>
        <v>1</v>
      </c>
      <c r="D13" s="21">
        <f t="shared" si="50"/>
        <v>0</v>
      </c>
      <c r="E13" s="27">
        <f t="shared" si="37"/>
        <v>0</v>
      </c>
      <c r="F13" s="21">
        <f t="shared" si="52"/>
        <v>1</v>
      </c>
      <c r="G13" s="21">
        <f>COUNTIFS('Data-TSD+1'!$AC:$AC,F$1,'Data-TSD+1'!$F:$F,"Very unsatisfactory (20%)")</f>
        <v>0</v>
      </c>
      <c r="H13" s="27">
        <f t="shared" si="38"/>
        <v>0</v>
      </c>
      <c r="I13" s="21">
        <f t="shared" si="53"/>
        <v>0</v>
      </c>
      <c r="J13" s="21">
        <f>COUNTIFS('Data-TSD+1'!$AC:$AC,I$1,'Data-TSD+1'!$F:$F,"Very unsatisfactory (20%)")</f>
        <v>0</v>
      </c>
      <c r="K13" s="27" t="str">
        <f t="shared" si="39"/>
        <v/>
      </c>
      <c r="L13" s="21">
        <f t="shared" si="54"/>
        <v>0</v>
      </c>
      <c r="M13" s="21">
        <f>COUNTIFS('Data-TSD+1'!$AC:$AC,L$1,'Data-TSD+1'!$F:$F,"Very unsatisfactory (20%)")</f>
        <v>0</v>
      </c>
      <c r="N13" s="27" t="str">
        <f t="shared" si="40"/>
        <v/>
      </c>
      <c r="O13" s="21">
        <f t="shared" si="55"/>
        <v>0</v>
      </c>
      <c r="P13" s="21">
        <f>COUNTIFS('Data-TSD+1'!$AC:$AC,O$1,'Data-TSD+1'!$F:$F,"Very unsatisfactory (20%)")</f>
        <v>0</v>
      </c>
      <c r="Q13" s="27" t="str">
        <f t="shared" si="41"/>
        <v/>
      </c>
      <c r="R13" s="21">
        <f t="shared" si="56"/>
        <v>0</v>
      </c>
      <c r="S13" s="21">
        <f>COUNTIFS('Data-TSD+1'!$AC:$AC,R$1,'Data-TSD+1'!$F:$F,"Very unsatisfactory (20%)")</f>
        <v>0</v>
      </c>
      <c r="T13" s="27" t="str">
        <f t="shared" si="42"/>
        <v/>
      </c>
      <c r="U13" s="21">
        <f t="shared" si="57"/>
        <v>0</v>
      </c>
      <c r="V13" s="21">
        <f>COUNTIFS('Data-TSD+1'!$AC:$AC,U$1,'Data-TSD+1'!$F:$F,"Very unsatisfactory (20%)")</f>
        <v>0</v>
      </c>
      <c r="W13" s="27" t="str">
        <f t="shared" si="43"/>
        <v/>
      </c>
      <c r="X13" s="21">
        <f t="shared" si="58"/>
        <v>0</v>
      </c>
      <c r="Y13" s="21">
        <f>COUNTIFS('Data-TSD+1'!$AC:$AC,X$1,'Data-TSD+1'!$F:$F,"Very unsatisfactory (20%)")</f>
        <v>0</v>
      </c>
      <c r="Z13" s="27" t="str">
        <f t="shared" si="44"/>
        <v/>
      </c>
      <c r="AA13" s="21">
        <f t="shared" si="59"/>
        <v>0</v>
      </c>
      <c r="AB13" s="21">
        <f>COUNTIFS('Data-TSD+1'!$AC:$AC,AA$1,'Data-TSD+1'!$F:$F,"Very unsatisfactory (20%)")</f>
        <v>0</v>
      </c>
      <c r="AC13" s="27" t="str">
        <f t="shared" si="45"/>
        <v/>
      </c>
      <c r="AD13" s="21">
        <f t="shared" si="60"/>
        <v>0</v>
      </c>
      <c r="AE13" s="21">
        <f>COUNTIFS('Data-TSD+1'!$AC:$AC,AD$1,'Data-TSD+1'!$F:$F,"Very unsatisfactory (20%)")</f>
        <v>0</v>
      </c>
      <c r="AF13" s="27" t="str">
        <f t="shared" si="46"/>
        <v/>
      </c>
      <c r="AG13" s="21">
        <f t="shared" si="61"/>
        <v>0</v>
      </c>
      <c r="AH13" s="21">
        <f>COUNTIFS('Data-TSD+1'!$AC:$AC,AG$1,'Data-TSD+1'!$F:$F,"Very unsatisfactory (20%)")</f>
        <v>0</v>
      </c>
      <c r="AI13" s="27" t="str">
        <f t="shared" si="47"/>
        <v/>
      </c>
      <c r="AJ13" s="21">
        <f t="shared" si="62"/>
        <v>0</v>
      </c>
      <c r="AK13" s="21">
        <f>COUNTIFS('Data-TSD+1'!$AC:$AC,AJ$1,'Data-TSD+1'!$F:$F,"Very unsatisfactory (20%)")</f>
        <v>0</v>
      </c>
      <c r="AL13" s="27" t="str">
        <f t="shared" si="48"/>
        <v/>
      </c>
      <c r="AM13" s="21">
        <f t="shared" si="63"/>
        <v>0</v>
      </c>
      <c r="AN13" s="21">
        <f>COUNTIFS('Data-TSD+1'!$AC:$AC,AM$1,'Data-TSD+1'!$F:$F,"Very unsatisfactory (20%)")</f>
        <v>0</v>
      </c>
      <c r="AO13" s="27" t="str">
        <f t="shared" si="49"/>
        <v/>
      </c>
    </row>
    <row r="14" spans="1:41" ht="14.25" customHeight="1" x14ac:dyDescent="0.3">
      <c r="A14" s="21">
        <v>3</v>
      </c>
      <c r="B14" s="28" t="s">
        <v>71</v>
      </c>
      <c r="C14" s="21"/>
      <c r="D14" s="21"/>
      <c r="E14" s="24"/>
      <c r="F14" s="21"/>
      <c r="G14" s="23"/>
      <c r="H14" s="24"/>
      <c r="I14" s="21"/>
      <c r="J14" s="23"/>
      <c r="K14" s="24"/>
      <c r="L14" s="21"/>
      <c r="M14" s="23"/>
      <c r="N14" s="24"/>
      <c r="O14" s="21"/>
      <c r="P14" s="23"/>
      <c r="Q14" s="24"/>
      <c r="R14" s="21"/>
      <c r="S14" s="23"/>
      <c r="T14" s="24"/>
      <c r="U14" s="21"/>
      <c r="V14" s="23"/>
      <c r="W14" s="24"/>
      <c r="X14" s="21"/>
      <c r="Y14" s="23"/>
      <c r="Z14" s="24"/>
      <c r="AA14" s="21"/>
      <c r="AB14" s="23"/>
      <c r="AC14" s="24"/>
      <c r="AD14" s="21"/>
      <c r="AE14" s="23"/>
      <c r="AF14" s="24"/>
      <c r="AG14" s="21"/>
      <c r="AH14" s="23"/>
      <c r="AI14" s="24"/>
      <c r="AJ14" s="21"/>
      <c r="AK14" s="23"/>
      <c r="AL14" s="24"/>
      <c r="AM14" s="21"/>
      <c r="AN14" s="23"/>
      <c r="AO14" s="24"/>
    </row>
    <row r="15" spans="1:41" ht="14.25" customHeight="1" x14ac:dyDescent="0.3">
      <c r="A15" s="25"/>
      <c r="B15" s="33" t="s">
        <v>119</v>
      </c>
      <c r="C15" s="21">
        <f>COUNTIF('Data-TSD+1'!$G:$G,"&lt;&gt;" &amp; "")-1</f>
        <v>1</v>
      </c>
      <c r="D15" s="21">
        <f>G15+J15+M15+P15+S15+V15+Y15+AB15+AE15+AH15+AK15+AN15</f>
        <v>1</v>
      </c>
      <c r="E15" s="27">
        <f t="shared" si="37"/>
        <v>1</v>
      </c>
      <c r="F15" s="21">
        <f>COUNTIFS('Data-TSD+1'!$AC:$AC,F$1,'Data-TSD+1'!$G:$G,"&lt;&gt;" &amp; "")</f>
        <v>1</v>
      </c>
      <c r="G15" s="21">
        <f>COUNTIFS('Data-TSD+1'!$AC:$AC,F$1,'Data-TSD+1'!$G:$G,"Very satisfactory (100%)")</f>
        <v>1</v>
      </c>
      <c r="H15" s="27">
        <f t="shared" si="38"/>
        <v>1</v>
      </c>
      <c r="I15" s="21">
        <f>COUNTIFS('Data-TSD+1'!$AC:$AC,I$1,'Data-TSD+1'!$G:$G,"&lt;&gt;" &amp; "")</f>
        <v>0</v>
      </c>
      <c r="J15" s="21">
        <f>COUNTIFS('Data-TSD+1'!$AC:$AC,I$1,'Data-TSD+1'!$G:$G,"Very satisfactory (100%)")</f>
        <v>0</v>
      </c>
      <c r="K15" s="27" t="str">
        <f t="shared" ref="K15:K19" si="64">IF(I15 &lt;&gt; 0,J15/I15,"")</f>
        <v/>
      </c>
      <c r="L15" s="21">
        <f>COUNTIFS('Data-TSD+1'!$AC:$AC,L$1,'Data-TSD+1'!$G:$G,"&lt;&gt;" &amp; "")</f>
        <v>0</v>
      </c>
      <c r="M15" s="21">
        <f>COUNTIFS('Data-TSD+1'!$AC:$AC,L$1,'Data-TSD+1'!$G:$G,"Very satisfactory (100%)")</f>
        <v>0</v>
      </c>
      <c r="N15" s="27" t="str">
        <f t="shared" ref="N15:N19" si="65">IF(L15 &lt;&gt; 0,M15/L15,"")</f>
        <v/>
      </c>
      <c r="O15" s="21">
        <f>COUNTIFS('Data-TSD+1'!$AC:$AC,O$1,'Data-TSD+1'!$G:$G,"&lt;&gt;" &amp; "")</f>
        <v>0</v>
      </c>
      <c r="P15" s="21">
        <f>COUNTIFS('Data-TSD+1'!$AC:$AC,O$1,'Data-TSD+1'!$G:$G,"Very satisfactory (100%)")</f>
        <v>0</v>
      </c>
      <c r="Q15" s="27" t="str">
        <f t="shared" ref="Q15:Q19" si="66">IF(O15 &lt;&gt; 0,P15/O15,"")</f>
        <v/>
      </c>
      <c r="R15" s="21">
        <f>COUNTIFS('Data-TSD+1'!$AC:$AC,R$1,'Data-TSD+1'!$G:$G,"&lt;&gt;" &amp; "")</f>
        <v>0</v>
      </c>
      <c r="S15" s="21">
        <f>COUNTIFS('Data-TSD+1'!$AC:$AC,R$1,'Data-TSD+1'!$G:$G,"Very satisfactory (100%)")</f>
        <v>0</v>
      </c>
      <c r="T15" s="27" t="str">
        <f t="shared" ref="T15:T19" si="67">IF(R15 &lt;&gt; 0,S15/R15,"")</f>
        <v/>
      </c>
      <c r="U15" s="21">
        <f>COUNTIFS('Data-TSD+1'!$AC:$AC,U$1,'Data-TSD+1'!$G:$G,"&lt;&gt;" &amp; "")</f>
        <v>0</v>
      </c>
      <c r="V15" s="21">
        <f>COUNTIFS('Data-TSD+1'!$AC:$AC,U$1,'Data-TSD+1'!$G:$G,"Very satisfactory (100%)")</f>
        <v>0</v>
      </c>
      <c r="W15" s="27" t="str">
        <f t="shared" ref="W15:W19" si="68">IF(U15 &lt;&gt; 0,V15/U15,"")</f>
        <v/>
      </c>
      <c r="X15" s="21">
        <f>COUNTIFS('Data-TSD+1'!$AC:$AC,X$1,'Data-TSD+1'!$G:$G,"&lt;&gt;" &amp; "")</f>
        <v>0</v>
      </c>
      <c r="Y15" s="21">
        <f>COUNTIFS('Data-TSD+1'!$AC:$AC,X$1,'Data-TSD+1'!$G:$G,"Very satisfactory (100%)")</f>
        <v>0</v>
      </c>
      <c r="Z15" s="27" t="str">
        <f t="shared" ref="Z15:Z19" si="69">IF(X15 &lt;&gt; 0,Y15/X15,"")</f>
        <v/>
      </c>
      <c r="AA15" s="21">
        <f>COUNTIFS('Data-TSD+1'!$AC:$AC,AA$1,'Data-TSD+1'!$G:$G,"&lt;&gt;" &amp; "")</f>
        <v>0</v>
      </c>
      <c r="AB15" s="21">
        <f>COUNTIFS('Data-TSD+1'!$AC:$AC,AA$1,'Data-TSD+1'!$G:$G,"Very satisfactory (100%)")</f>
        <v>0</v>
      </c>
      <c r="AC15" s="27" t="str">
        <f t="shared" ref="AC15:AC19" si="70">IF(AA15 &lt;&gt; 0,AB15/AA15,"")</f>
        <v/>
      </c>
      <c r="AD15" s="21">
        <f>COUNTIFS('Data-TSD+1'!$AC:$AC,AD$1,'Data-TSD+1'!$G:$G,"&lt;&gt;" &amp; "")</f>
        <v>0</v>
      </c>
      <c r="AE15" s="21">
        <f>COUNTIFS('Data-TSD+1'!$AC:$AC,AD$1,'Data-TSD+1'!$G:$G,"Very satisfactory (100%)")</f>
        <v>0</v>
      </c>
      <c r="AF15" s="27" t="str">
        <f t="shared" ref="AF15:AF19" si="71">IF(AD15 &lt;&gt; 0,AE15/AD15,"")</f>
        <v/>
      </c>
      <c r="AG15" s="21">
        <f>COUNTIFS('Data-TSD+1'!$AC:$AC,AG$1,'Data-TSD+1'!$G:$G,"&lt;&gt;" &amp; "")</f>
        <v>0</v>
      </c>
      <c r="AH15" s="21">
        <f>COUNTIFS('Data-TSD+1'!$AC:$AC,AG$1,'Data-TSD+1'!$G:$G,"Very satisfactory (100%)")</f>
        <v>0</v>
      </c>
      <c r="AI15" s="27" t="str">
        <f t="shared" ref="AI15:AI19" si="72">IF(AG15 &lt;&gt; 0,AH15/AG15,"")</f>
        <v/>
      </c>
      <c r="AJ15" s="21">
        <f>COUNTIFS('Data-TSD+1'!$AC:$AC,AJ$1,'Data-TSD+1'!$G:$G,"&lt;&gt;" &amp; "")</f>
        <v>0</v>
      </c>
      <c r="AK15" s="21">
        <f>COUNTIFS('Data-TSD+1'!$AC:$AC,AJ$1,'Data-TSD+1'!$G:$G,"Very satisfactory (100%)")</f>
        <v>0</v>
      </c>
      <c r="AL15" s="27" t="str">
        <f t="shared" ref="AL15:AL19" si="73">IF(AJ15 &lt;&gt; 0,AK15/AJ15,"")</f>
        <v/>
      </c>
      <c r="AM15" s="21">
        <f>COUNTIFS('Data-TSD+1'!$AC:$AC,AM$1,'Data-TSD+1'!$G:$G,"&lt;&gt;" &amp; "")</f>
        <v>0</v>
      </c>
      <c r="AN15" s="21">
        <f>COUNTIFS('Data-TSD+1'!$AC:$AC,AM$1,'Data-TSD+1'!$G:$G,"Very satisfactory (100%)")</f>
        <v>0</v>
      </c>
      <c r="AO15" s="27" t="str">
        <f t="shared" ref="AO15:AO19" si="74">IF(AM15 &lt;&gt; 0,AN15/AM15,"")</f>
        <v/>
      </c>
    </row>
    <row r="16" spans="1:41" x14ac:dyDescent="0.3">
      <c r="A16" s="25"/>
      <c r="B16" s="33" t="s">
        <v>120</v>
      </c>
      <c r="C16" s="21">
        <f t="shared" ref="C16:C19" si="75">C15</f>
        <v>1</v>
      </c>
      <c r="D16" s="21">
        <f t="shared" ref="D16:D18" si="76">G16+J16+M16+P16+S16+V16+Y16+AB16+AE16+AH16+AK16+AN16</f>
        <v>0</v>
      </c>
      <c r="E16" s="27">
        <f t="shared" si="37"/>
        <v>0</v>
      </c>
      <c r="F16" s="21">
        <f>F15</f>
        <v>1</v>
      </c>
      <c r="G16" s="21">
        <f>COUNTIFS('Data-TSD+1'!$AC:$AC,F$1,'Data-TSD+1'!$G:$G,"Satisfactory (80%)")</f>
        <v>0</v>
      </c>
      <c r="H16" s="27">
        <f t="shared" si="38"/>
        <v>0</v>
      </c>
      <c r="I16" s="21">
        <f>I15</f>
        <v>0</v>
      </c>
      <c r="J16" s="21">
        <f>COUNTIFS('Data-TSD+1'!$AC:$AC,I$1,'Data-TSD+1'!$G:$G,"Satisfactory (80%)")</f>
        <v>0</v>
      </c>
      <c r="K16" s="27" t="str">
        <f t="shared" si="64"/>
        <v/>
      </c>
      <c r="L16" s="21">
        <f>L15</f>
        <v>0</v>
      </c>
      <c r="M16" s="21">
        <f>COUNTIFS('Data-TSD+1'!$AC:$AC,L$1,'Data-TSD+1'!$G:$G,"Satisfactory (80%)")</f>
        <v>0</v>
      </c>
      <c r="N16" s="27" t="str">
        <f t="shared" si="65"/>
        <v/>
      </c>
      <c r="O16" s="21">
        <f>O15</f>
        <v>0</v>
      </c>
      <c r="P16" s="21">
        <f>COUNTIFS('Data-TSD+1'!$AC:$AC,O$1,'Data-TSD+1'!$G:$G,"Satisfactory (80%)")</f>
        <v>0</v>
      </c>
      <c r="Q16" s="27" t="str">
        <f t="shared" si="66"/>
        <v/>
      </c>
      <c r="R16" s="21">
        <f>R15</f>
        <v>0</v>
      </c>
      <c r="S16" s="21">
        <f>COUNTIFS('Data-TSD+1'!$AC:$AC,R$1,'Data-TSD+1'!$G:$G,"Satisfactory (80%)")</f>
        <v>0</v>
      </c>
      <c r="T16" s="27" t="str">
        <f t="shared" si="67"/>
        <v/>
      </c>
      <c r="U16" s="21">
        <f>U15</f>
        <v>0</v>
      </c>
      <c r="V16" s="21">
        <f>COUNTIFS('Data-TSD+1'!$AC:$AC,U$1,'Data-TSD+1'!$G:$G,"Satisfactory (80%)")</f>
        <v>0</v>
      </c>
      <c r="W16" s="27" t="str">
        <f t="shared" si="68"/>
        <v/>
      </c>
      <c r="X16" s="21">
        <f>X15</f>
        <v>0</v>
      </c>
      <c r="Y16" s="21">
        <f>COUNTIFS('Data-TSD+1'!$AC:$AC,X$1,'Data-TSD+1'!$G:$G,"Satisfactory (80%)")</f>
        <v>0</v>
      </c>
      <c r="Z16" s="27" t="str">
        <f t="shared" si="69"/>
        <v/>
      </c>
      <c r="AA16" s="21">
        <f>AA15</f>
        <v>0</v>
      </c>
      <c r="AB16" s="21">
        <f>COUNTIFS('Data-TSD+1'!$AC:$AC,AA$1,'Data-TSD+1'!$G:$G,"Satisfactory (80%)")</f>
        <v>0</v>
      </c>
      <c r="AC16" s="27" t="str">
        <f t="shared" si="70"/>
        <v/>
      </c>
      <c r="AD16" s="21">
        <f>AD15</f>
        <v>0</v>
      </c>
      <c r="AE16" s="21">
        <f>COUNTIFS('Data-TSD+1'!$AC:$AC,AD$1,'Data-TSD+1'!$G:$G,"Satisfactory (80%)")</f>
        <v>0</v>
      </c>
      <c r="AF16" s="27" t="str">
        <f t="shared" si="71"/>
        <v/>
      </c>
      <c r="AG16" s="21">
        <f>AG15</f>
        <v>0</v>
      </c>
      <c r="AH16" s="21">
        <f>COUNTIFS('Data-TSD+1'!$AC:$AC,AG$1,'Data-TSD+1'!$G:$G,"Satisfactory (80%)")</f>
        <v>0</v>
      </c>
      <c r="AI16" s="27" t="str">
        <f t="shared" si="72"/>
        <v/>
      </c>
      <c r="AJ16" s="21">
        <f>AJ15</f>
        <v>0</v>
      </c>
      <c r="AK16" s="21">
        <f>COUNTIFS('Data-TSD+1'!$AC:$AC,AJ$1,'Data-TSD+1'!$G:$G,"Satisfactory (80%)")</f>
        <v>0</v>
      </c>
      <c r="AL16" s="27" t="str">
        <f t="shared" si="73"/>
        <v/>
      </c>
      <c r="AM16" s="21">
        <f>AM15</f>
        <v>0</v>
      </c>
      <c r="AN16" s="21">
        <f>COUNTIFS('Data-TSD+1'!$AC:$AC,AM$1,'Data-TSD+1'!$G:$G,"Satisfactory (80%)")</f>
        <v>0</v>
      </c>
      <c r="AO16" s="27" t="str">
        <f t="shared" si="74"/>
        <v/>
      </c>
    </row>
    <row r="17" spans="1:41" x14ac:dyDescent="0.3">
      <c r="A17" s="25"/>
      <c r="B17" s="33" t="s">
        <v>121</v>
      </c>
      <c r="C17" s="21">
        <f t="shared" si="75"/>
        <v>1</v>
      </c>
      <c r="D17" s="21">
        <f t="shared" si="76"/>
        <v>0</v>
      </c>
      <c r="E17" s="27">
        <f t="shared" si="37"/>
        <v>0</v>
      </c>
      <c r="F17" s="21">
        <f t="shared" ref="F17:F19" si="77">F16</f>
        <v>1</v>
      </c>
      <c r="G17" s="21">
        <f>COUNTIFS('Data-TSD+1'!$AC:$AC,F$1,'Data-TSD+1'!$G:$G,"Average (60%)")</f>
        <v>0</v>
      </c>
      <c r="H17" s="27">
        <f t="shared" si="38"/>
        <v>0</v>
      </c>
      <c r="I17" s="21">
        <f t="shared" ref="I17:I19" si="78">I16</f>
        <v>0</v>
      </c>
      <c r="J17" s="21">
        <f>COUNTIFS('Data-TSD+1'!$AC:$AC,I$1,'Data-TSD+1'!$G:$G,"Average (60%)")</f>
        <v>0</v>
      </c>
      <c r="K17" s="27" t="str">
        <f t="shared" si="64"/>
        <v/>
      </c>
      <c r="L17" s="21">
        <f t="shared" ref="L17:L19" si="79">L16</f>
        <v>0</v>
      </c>
      <c r="M17" s="21">
        <f>COUNTIFS('Data-TSD+1'!$AC:$AC,L$1,'Data-TSD+1'!$G:$G,"Average (60%)")</f>
        <v>0</v>
      </c>
      <c r="N17" s="27" t="str">
        <f t="shared" si="65"/>
        <v/>
      </c>
      <c r="O17" s="21">
        <f t="shared" ref="O17:O19" si="80">O16</f>
        <v>0</v>
      </c>
      <c r="P17" s="21">
        <f>COUNTIFS('Data-TSD+1'!$AC:$AC,O$1,'Data-TSD+1'!$G:$G,"Average (60%)")</f>
        <v>0</v>
      </c>
      <c r="Q17" s="27" t="str">
        <f t="shared" si="66"/>
        <v/>
      </c>
      <c r="R17" s="21">
        <f t="shared" ref="R17:R19" si="81">R16</f>
        <v>0</v>
      </c>
      <c r="S17" s="21">
        <f>COUNTIFS('Data-TSD+1'!$AC:$AC,R$1,'Data-TSD+1'!$G:$G,"Average (60%)")</f>
        <v>0</v>
      </c>
      <c r="T17" s="27" t="str">
        <f t="shared" si="67"/>
        <v/>
      </c>
      <c r="U17" s="21">
        <f t="shared" ref="U17:U19" si="82">U16</f>
        <v>0</v>
      </c>
      <c r="V17" s="21">
        <f>COUNTIFS('Data-TSD+1'!$AC:$AC,U$1,'Data-TSD+1'!$G:$G,"Average (60%)")</f>
        <v>0</v>
      </c>
      <c r="W17" s="27" t="str">
        <f t="shared" si="68"/>
        <v/>
      </c>
      <c r="X17" s="21">
        <f t="shared" ref="X17:X19" si="83">X16</f>
        <v>0</v>
      </c>
      <c r="Y17" s="21">
        <f>COUNTIFS('Data-TSD+1'!$AC:$AC,X$1,'Data-TSD+1'!$G:$G,"Average (60%)")</f>
        <v>0</v>
      </c>
      <c r="Z17" s="27" t="str">
        <f t="shared" si="69"/>
        <v/>
      </c>
      <c r="AA17" s="21">
        <f t="shared" ref="AA17:AA19" si="84">AA16</f>
        <v>0</v>
      </c>
      <c r="AB17" s="21">
        <f>COUNTIFS('Data-TSD+1'!$AC:$AC,AA$1,'Data-TSD+1'!$G:$G,"Average (60%)")</f>
        <v>0</v>
      </c>
      <c r="AC17" s="27" t="str">
        <f t="shared" si="70"/>
        <v/>
      </c>
      <c r="AD17" s="21">
        <f t="shared" ref="AD17:AD19" si="85">AD16</f>
        <v>0</v>
      </c>
      <c r="AE17" s="21">
        <f>COUNTIFS('Data-TSD+1'!$AC:$AC,AD$1,'Data-TSD+1'!$G:$G,"Average (60%)")</f>
        <v>0</v>
      </c>
      <c r="AF17" s="27" t="str">
        <f t="shared" si="71"/>
        <v/>
      </c>
      <c r="AG17" s="21">
        <f t="shared" ref="AG17:AG19" si="86">AG16</f>
        <v>0</v>
      </c>
      <c r="AH17" s="21">
        <f>COUNTIFS('Data-TSD+1'!$AC:$AC,AG$1,'Data-TSD+1'!$G:$G,"Average (60%)")</f>
        <v>0</v>
      </c>
      <c r="AI17" s="27" t="str">
        <f t="shared" si="72"/>
        <v/>
      </c>
      <c r="AJ17" s="21">
        <f t="shared" ref="AJ17:AJ19" si="87">AJ16</f>
        <v>0</v>
      </c>
      <c r="AK17" s="21">
        <f>COUNTIFS('Data-TSD+1'!$AC:$AC,AJ$1,'Data-TSD+1'!$G:$G,"Average (60%)")</f>
        <v>0</v>
      </c>
      <c r="AL17" s="27" t="str">
        <f t="shared" si="73"/>
        <v/>
      </c>
      <c r="AM17" s="21">
        <f t="shared" ref="AM17:AM19" si="88">AM16</f>
        <v>0</v>
      </c>
      <c r="AN17" s="21">
        <f>COUNTIFS('Data-TSD+1'!$AC:$AC,AM$1,'Data-TSD+1'!$G:$G,"Average (60%)")</f>
        <v>0</v>
      </c>
      <c r="AO17" s="27" t="str">
        <f t="shared" si="74"/>
        <v/>
      </c>
    </row>
    <row r="18" spans="1:41" x14ac:dyDescent="0.3">
      <c r="A18" s="25"/>
      <c r="B18" s="33" t="s">
        <v>122</v>
      </c>
      <c r="C18" s="21">
        <f t="shared" si="75"/>
        <v>1</v>
      </c>
      <c r="D18" s="21">
        <f t="shared" si="76"/>
        <v>0</v>
      </c>
      <c r="E18" s="27">
        <f t="shared" si="37"/>
        <v>0</v>
      </c>
      <c r="F18" s="21">
        <f t="shared" si="77"/>
        <v>1</v>
      </c>
      <c r="G18" s="21">
        <f>COUNTIFS('Data-TSD+1'!$AC:$AC,F$1,'Data-TSD+1'!$G:$G,"Unsatisfactory (40%)")</f>
        <v>0</v>
      </c>
      <c r="H18" s="27">
        <f t="shared" si="38"/>
        <v>0</v>
      </c>
      <c r="I18" s="21">
        <f t="shared" si="78"/>
        <v>0</v>
      </c>
      <c r="J18" s="21">
        <f>COUNTIFS('Data-TSD+1'!$AC:$AC,I$1,'Data-TSD+1'!$G:$G,"Unsatisfactory (40%)")</f>
        <v>0</v>
      </c>
      <c r="K18" s="27" t="str">
        <f t="shared" si="64"/>
        <v/>
      </c>
      <c r="L18" s="21">
        <f t="shared" si="79"/>
        <v>0</v>
      </c>
      <c r="M18" s="21">
        <f>COUNTIFS('Data-TSD+1'!$AC:$AC,L$1,'Data-TSD+1'!$G:$G,"Unsatisfactory (40%)")</f>
        <v>0</v>
      </c>
      <c r="N18" s="27" t="str">
        <f t="shared" si="65"/>
        <v/>
      </c>
      <c r="O18" s="21">
        <f t="shared" si="80"/>
        <v>0</v>
      </c>
      <c r="P18" s="21">
        <f>COUNTIFS('Data-TSD+1'!$AC:$AC,O$1,'Data-TSD+1'!$G:$G,"Unsatisfactory (40%)")</f>
        <v>0</v>
      </c>
      <c r="Q18" s="27" t="str">
        <f t="shared" si="66"/>
        <v/>
      </c>
      <c r="R18" s="21">
        <f t="shared" si="81"/>
        <v>0</v>
      </c>
      <c r="S18" s="21">
        <f>COUNTIFS('Data-TSD+1'!$AC:$AC,R$1,'Data-TSD+1'!$G:$G,"Unsatisfactory (40%)")</f>
        <v>0</v>
      </c>
      <c r="T18" s="27" t="str">
        <f t="shared" si="67"/>
        <v/>
      </c>
      <c r="U18" s="21">
        <f t="shared" si="82"/>
        <v>0</v>
      </c>
      <c r="V18" s="21">
        <f>COUNTIFS('Data-TSD+1'!$AC:$AC,U$1,'Data-TSD+1'!$G:$G,"Unsatisfactory (40%)")</f>
        <v>0</v>
      </c>
      <c r="W18" s="27" t="str">
        <f t="shared" si="68"/>
        <v/>
      </c>
      <c r="X18" s="21">
        <f t="shared" si="83"/>
        <v>0</v>
      </c>
      <c r="Y18" s="21">
        <f>COUNTIFS('Data-TSD+1'!$AC:$AC,X$1,'Data-TSD+1'!$G:$G,"Unsatisfactory (40%)")</f>
        <v>0</v>
      </c>
      <c r="Z18" s="27" t="str">
        <f t="shared" si="69"/>
        <v/>
      </c>
      <c r="AA18" s="21">
        <f t="shared" si="84"/>
        <v>0</v>
      </c>
      <c r="AB18" s="21">
        <f>COUNTIFS('Data-TSD+1'!$AC:$AC,AA$1,'Data-TSD+1'!$G:$G,"Unsatisfactory (40%)")</f>
        <v>0</v>
      </c>
      <c r="AC18" s="27" t="str">
        <f t="shared" si="70"/>
        <v/>
      </c>
      <c r="AD18" s="21">
        <f t="shared" si="85"/>
        <v>0</v>
      </c>
      <c r="AE18" s="21">
        <f>COUNTIFS('Data-TSD+1'!$AC:$AC,AD$1,'Data-TSD+1'!$G:$G,"Unsatisfactory (40%)")</f>
        <v>0</v>
      </c>
      <c r="AF18" s="27" t="str">
        <f t="shared" si="71"/>
        <v/>
      </c>
      <c r="AG18" s="21">
        <f t="shared" si="86"/>
        <v>0</v>
      </c>
      <c r="AH18" s="21">
        <f>COUNTIFS('Data-TSD+1'!$AC:$AC,AG$1,'Data-TSD+1'!$G:$G,"Unsatisfactory (40%)")</f>
        <v>0</v>
      </c>
      <c r="AI18" s="27" t="str">
        <f t="shared" si="72"/>
        <v/>
      </c>
      <c r="AJ18" s="21">
        <f t="shared" si="87"/>
        <v>0</v>
      </c>
      <c r="AK18" s="21">
        <f>COUNTIFS('Data-TSD+1'!$AC:$AC,AJ$1,'Data-TSD+1'!$G:$G,"Unsatisfactory (40%)")</f>
        <v>0</v>
      </c>
      <c r="AL18" s="27" t="str">
        <f t="shared" si="73"/>
        <v/>
      </c>
      <c r="AM18" s="21">
        <f t="shared" si="88"/>
        <v>0</v>
      </c>
      <c r="AN18" s="21">
        <f>COUNTIFS('Data-TSD+1'!$AC:$AC,AM$1,'Data-TSD+1'!$G:$G,"Unsatisfactory (40%)")</f>
        <v>0</v>
      </c>
      <c r="AO18" s="27" t="str">
        <f t="shared" si="74"/>
        <v/>
      </c>
    </row>
    <row r="19" spans="1:41" x14ac:dyDescent="0.3">
      <c r="A19" s="25"/>
      <c r="B19" s="33" t="s">
        <v>123</v>
      </c>
      <c r="C19" s="21">
        <f t="shared" si="75"/>
        <v>1</v>
      </c>
      <c r="D19" s="21">
        <f>G19+J19+M19+P19+S19+V19+Y19+AB19+AE19+AH19+AK19+AN19</f>
        <v>0</v>
      </c>
      <c r="E19" s="27">
        <f t="shared" si="37"/>
        <v>0</v>
      </c>
      <c r="F19" s="21">
        <f t="shared" si="77"/>
        <v>1</v>
      </c>
      <c r="G19" s="21">
        <f>COUNTIFS('Data-TSD+1'!$AC:$AC,F$1,'Data-TSD+1'!$G:$G,"Very unsatisfactory (20%)")</f>
        <v>0</v>
      </c>
      <c r="H19" s="27">
        <f t="shared" si="38"/>
        <v>0</v>
      </c>
      <c r="I19" s="21">
        <f t="shared" si="78"/>
        <v>0</v>
      </c>
      <c r="J19" s="21">
        <f>COUNTIFS('Data-TSD+1'!$AC:$AC,I$1,'Data-TSD+1'!$G:$G,"Very unsatisfactory (20%)")</f>
        <v>0</v>
      </c>
      <c r="K19" s="27" t="str">
        <f t="shared" si="64"/>
        <v/>
      </c>
      <c r="L19" s="21">
        <f t="shared" si="79"/>
        <v>0</v>
      </c>
      <c r="M19" s="21">
        <f>COUNTIFS('Data-TSD+1'!$AC:$AC,L$1,'Data-TSD+1'!$G:$G,"Very unsatisfactory (20%)")</f>
        <v>0</v>
      </c>
      <c r="N19" s="27" t="str">
        <f t="shared" si="65"/>
        <v/>
      </c>
      <c r="O19" s="21">
        <f t="shared" si="80"/>
        <v>0</v>
      </c>
      <c r="P19" s="21">
        <f>COUNTIFS('Data-TSD+1'!$AC:$AC,O$1,'Data-TSD+1'!$G:$G,"Very unsatisfactory (20%)")</f>
        <v>0</v>
      </c>
      <c r="Q19" s="27" t="str">
        <f t="shared" si="66"/>
        <v/>
      </c>
      <c r="R19" s="21">
        <f t="shared" si="81"/>
        <v>0</v>
      </c>
      <c r="S19" s="21">
        <f>COUNTIFS('Data-TSD+1'!$AC:$AC,R$1,'Data-TSD+1'!$G:$G,"Very unsatisfactory (20%)")</f>
        <v>0</v>
      </c>
      <c r="T19" s="27" t="str">
        <f t="shared" si="67"/>
        <v/>
      </c>
      <c r="U19" s="21">
        <f t="shared" si="82"/>
        <v>0</v>
      </c>
      <c r="V19" s="21">
        <f>COUNTIFS('Data-TSD+1'!$AC:$AC,U$1,'Data-TSD+1'!$G:$G,"Very unsatisfactory (20%)")</f>
        <v>0</v>
      </c>
      <c r="W19" s="27" t="str">
        <f t="shared" si="68"/>
        <v/>
      </c>
      <c r="X19" s="21">
        <f t="shared" si="83"/>
        <v>0</v>
      </c>
      <c r="Y19" s="21">
        <f>COUNTIFS('Data-TSD+1'!$AC:$AC,X$1,'Data-TSD+1'!$G:$G,"Very unsatisfactory (20%)")</f>
        <v>0</v>
      </c>
      <c r="Z19" s="27" t="str">
        <f t="shared" si="69"/>
        <v/>
      </c>
      <c r="AA19" s="21">
        <f t="shared" si="84"/>
        <v>0</v>
      </c>
      <c r="AB19" s="21">
        <f>COUNTIFS('Data-TSD+1'!$AC:$AC,AA$1,'Data-TSD+1'!$G:$G,"Very unsatisfactory (20%)")</f>
        <v>0</v>
      </c>
      <c r="AC19" s="27" t="str">
        <f t="shared" si="70"/>
        <v/>
      </c>
      <c r="AD19" s="21">
        <f t="shared" si="85"/>
        <v>0</v>
      </c>
      <c r="AE19" s="21">
        <f>COUNTIFS('Data-TSD+1'!$AC:$AC,AD$1,'Data-TSD+1'!$G:$G,"Very unsatisfactory (20%)")</f>
        <v>0</v>
      </c>
      <c r="AF19" s="27" t="str">
        <f t="shared" si="71"/>
        <v/>
      </c>
      <c r="AG19" s="21">
        <f t="shared" si="86"/>
        <v>0</v>
      </c>
      <c r="AH19" s="21">
        <f>COUNTIFS('Data-TSD+1'!$AC:$AC,AG$1,'Data-TSD+1'!$G:$G,"Very unsatisfactory (20%)")</f>
        <v>0</v>
      </c>
      <c r="AI19" s="27" t="str">
        <f t="shared" si="72"/>
        <v/>
      </c>
      <c r="AJ19" s="21">
        <f t="shared" si="87"/>
        <v>0</v>
      </c>
      <c r="AK19" s="21">
        <f>COUNTIFS('Data-TSD+1'!$AC:$AC,AJ$1,'Data-TSD+1'!$G:$G,"Very unsatisfactory (20%)")</f>
        <v>0</v>
      </c>
      <c r="AL19" s="27" t="str">
        <f t="shared" si="73"/>
        <v/>
      </c>
      <c r="AM19" s="21">
        <f t="shared" si="88"/>
        <v>0</v>
      </c>
      <c r="AN19" s="21">
        <f>COUNTIFS('Data-TSD+1'!$AC:$AC,AM$1,'Data-TSD+1'!$G:$G,"Very unsatisfactory (20%)")</f>
        <v>0</v>
      </c>
      <c r="AO19" s="27" t="str">
        <f t="shared" si="74"/>
        <v/>
      </c>
    </row>
    <row r="20" spans="1:41" x14ac:dyDescent="0.3">
      <c r="A20" s="21">
        <v>4</v>
      </c>
      <c r="B20" s="22" t="s">
        <v>72</v>
      </c>
      <c r="C20" s="21"/>
      <c r="D20" s="21"/>
      <c r="E20" s="24"/>
      <c r="F20" s="21"/>
      <c r="G20" s="23"/>
      <c r="H20" s="24"/>
      <c r="I20" s="21"/>
      <c r="J20" s="23"/>
      <c r="K20" s="24"/>
      <c r="L20" s="21"/>
      <c r="M20" s="23"/>
      <c r="N20" s="24"/>
      <c r="O20" s="21"/>
      <c r="P20" s="23"/>
      <c r="Q20" s="24"/>
      <c r="R20" s="21"/>
      <c r="S20" s="23"/>
      <c r="T20" s="24"/>
      <c r="U20" s="21"/>
      <c r="V20" s="23"/>
      <c r="W20" s="24"/>
      <c r="X20" s="21"/>
      <c r="Y20" s="23"/>
      <c r="Z20" s="24"/>
      <c r="AA20" s="21"/>
      <c r="AB20" s="23"/>
      <c r="AC20" s="24"/>
      <c r="AD20" s="21"/>
      <c r="AE20" s="23"/>
      <c r="AF20" s="24"/>
      <c r="AG20" s="21"/>
      <c r="AH20" s="23"/>
      <c r="AI20" s="24"/>
      <c r="AJ20" s="21"/>
      <c r="AK20" s="23"/>
      <c r="AL20" s="24"/>
      <c r="AM20" s="21"/>
      <c r="AN20" s="23"/>
      <c r="AO20" s="24"/>
    </row>
    <row r="21" spans="1:41" x14ac:dyDescent="0.3">
      <c r="A21" s="25"/>
      <c r="B21" s="33" t="s">
        <v>119</v>
      </c>
      <c r="C21" s="21">
        <f>COUNTIF('Data-TSD+1'!$H:$H,"&lt;&gt;" &amp; "")-1</f>
        <v>1</v>
      </c>
      <c r="D21" s="21">
        <f>G21+J21+M21+P21+S21+V21+Y21+AB21+AE21+AH21+AK21+AN21</f>
        <v>1</v>
      </c>
      <c r="E21" s="27">
        <f t="shared" si="37"/>
        <v>1</v>
      </c>
      <c r="F21" s="21">
        <f>COUNTIFS('Data-TSD+1'!$AC:$AC,F$1,'Data-TSD+1'!$H:$H,"&lt;&gt;" &amp; "")</f>
        <v>1</v>
      </c>
      <c r="G21" s="21">
        <f>COUNTIFS('Data-TSD+1'!$AC:$AC,F$1,'Data-TSD+1'!$H:$H,"Very satisfactory (100%)")</f>
        <v>1</v>
      </c>
      <c r="H21" s="27">
        <f t="shared" si="38"/>
        <v>1</v>
      </c>
      <c r="I21" s="21">
        <f>COUNTIFS('Data-TSD+1'!$AC:$AC,I$1,'Data-TSD+1'!$H:$H,"&lt;&gt;" &amp; "")</f>
        <v>0</v>
      </c>
      <c r="J21" s="21">
        <f>COUNTIFS('Data-TSD+1'!$AC:$AC,I$1,'Data-TSD+1'!$H:$H,"Very satisfactory (100%)")</f>
        <v>0</v>
      </c>
      <c r="K21" s="27" t="str">
        <f t="shared" ref="K21:K25" si="89">IF(I21 &lt;&gt; 0,J21/I21,"")</f>
        <v/>
      </c>
      <c r="L21" s="21">
        <f>COUNTIFS('Data-TSD+1'!$AC:$AC,L$1,'Data-TSD+1'!$H:$H,"&lt;&gt;" &amp; "")</f>
        <v>0</v>
      </c>
      <c r="M21" s="21">
        <f>COUNTIFS('Data-TSD+1'!$AC:$AC,L$1,'Data-TSD+1'!$H:$H,"Very satisfactory (100%)")</f>
        <v>0</v>
      </c>
      <c r="N21" s="27" t="str">
        <f t="shared" ref="N21:N25" si="90">IF(L21 &lt;&gt; 0,M21/L21,"")</f>
        <v/>
      </c>
      <c r="O21" s="21">
        <f>COUNTIFS('Data-TSD+1'!$AC:$AC,O$1,'Data-TSD+1'!$H:$H,"&lt;&gt;" &amp; "")</f>
        <v>0</v>
      </c>
      <c r="P21" s="21">
        <f>COUNTIFS('Data-TSD+1'!$AC:$AC,O$1,'Data-TSD+1'!$H:$H,"Very satisfactory (100%)")</f>
        <v>0</v>
      </c>
      <c r="Q21" s="27" t="str">
        <f t="shared" ref="Q21:Q25" si="91">IF(O21 &lt;&gt; 0,P21/O21,"")</f>
        <v/>
      </c>
      <c r="R21" s="21">
        <f>COUNTIFS('Data-TSD+1'!$AC:$AC,R$1,'Data-TSD+1'!$H:$H,"&lt;&gt;" &amp; "")</f>
        <v>0</v>
      </c>
      <c r="S21" s="21">
        <f>COUNTIFS('Data-TSD+1'!$AC:$AC,R$1,'Data-TSD+1'!$H:$H,"Very satisfactory (100%)")</f>
        <v>0</v>
      </c>
      <c r="T21" s="27" t="str">
        <f t="shared" ref="T21:T25" si="92">IF(R21 &lt;&gt; 0,S21/R21,"")</f>
        <v/>
      </c>
      <c r="U21" s="21">
        <f>COUNTIFS('Data-TSD+1'!$AC:$AC,U$1,'Data-TSD+1'!$H:$H,"&lt;&gt;" &amp; "")</f>
        <v>0</v>
      </c>
      <c r="V21" s="21">
        <f>COUNTIFS('Data-TSD+1'!$AC:$AC,U$1,'Data-TSD+1'!$H:$H,"Very satisfactory (100%)")</f>
        <v>0</v>
      </c>
      <c r="W21" s="27" t="str">
        <f t="shared" ref="W21:W25" si="93">IF(U21 &lt;&gt; 0,V21/U21,"")</f>
        <v/>
      </c>
      <c r="X21" s="21">
        <f>COUNTIFS('Data-TSD+1'!$AC:$AC,X$1,'Data-TSD+1'!$H:$H,"&lt;&gt;" &amp; "")</f>
        <v>0</v>
      </c>
      <c r="Y21" s="21">
        <f>COUNTIFS('Data-TSD+1'!$AC:$AC,X$1,'Data-TSD+1'!$H:$H,"Very satisfactory (100%)")</f>
        <v>0</v>
      </c>
      <c r="Z21" s="27" t="str">
        <f t="shared" ref="Z21:Z25" si="94">IF(X21 &lt;&gt; 0,Y21/X21,"")</f>
        <v/>
      </c>
      <c r="AA21" s="21">
        <f>COUNTIFS('Data-TSD+1'!$AC:$AC,AA$1,'Data-TSD+1'!$H:$H,"&lt;&gt;" &amp; "")</f>
        <v>0</v>
      </c>
      <c r="AB21" s="21">
        <f>COUNTIFS('Data-TSD+1'!$AC:$AC,AA$1,'Data-TSD+1'!$H:$H,"Very satisfactory (100%)")</f>
        <v>0</v>
      </c>
      <c r="AC21" s="27" t="str">
        <f t="shared" ref="AC21:AC25" si="95">IF(AA21 &lt;&gt; 0,AB21/AA21,"")</f>
        <v/>
      </c>
      <c r="AD21" s="21">
        <f>COUNTIFS('Data-TSD+1'!$AC:$AC,AD$1,'Data-TSD+1'!$H:$H,"&lt;&gt;" &amp; "")</f>
        <v>0</v>
      </c>
      <c r="AE21" s="21">
        <f>COUNTIFS('Data-TSD+1'!$AC:$AC,AD$1,'Data-TSD+1'!$H:$H,"Very satisfactory (100%)")</f>
        <v>0</v>
      </c>
      <c r="AF21" s="27" t="str">
        <f t="shared" ref="AF21:AF25" si="96">IF(AD21 &lt;&gt; 0,AE21/AD21,"")</f>
        <v/>
      </c>
      <c r="AG21" s="21">
        <f>COUNTIFS('Data-TSD+1'!$AC:$AC,AG$1,'Data-TSD+1'!$H:$H,"&lt;&gt;" &amp; "")</f>
        <v>0</v>
      </c>
      <c r="AH21" s="21">
        <f>COUNTIFS('Data-TSD+1'!$AC:$AC,AG$1,'Data-TSD+1'!$H:$H,"Very satisfactory (100%)")</f>
        <v>0</v>
      </c>
      <c r="AI21" s="27" t="str">
        <f t="shared" ref="AI21:AI25" si="97">IF(AG21 &lt;&gt; 0,AH21/AG21,"")</f>
        <v/>
      </c>
      <c r="AJ21" s="21">
        <f>COUNTIFS('Data-TSD+1'!$AC:$AC,AJ$1,'Data-TSD+1'!$H:$H,"&lt;&gt;" &amp; "")</f>
        <v>0</v>
      </c>
      <c r="AK21" s="21">
        <f>COUNTIFS('Data-TSD+1'!$AC:$AC,AJ$1,'Data-TSD+1'!$H:$H,"Very satisfactory (100%)")</f>
        <v>0</v>
      </c>
      <c r="AL21" s="27" t="str">
        <f t="shared" ref="AL21:AL25" si="98">IF(AJ21 &lt;&gt; 0,AK21/AJ21,"")</f>
        <v/>
      </c>
      <c r="AM21" s="21">
        <f>COUNTIFS('Data-TSD+1'!$AC:$AC,AM$1,'Data-TSD+1'!$H:$H,"&lt;&gt;" &amp; "")</f>
        <v>0</v>
      </c>
      <c r="AN21" s="21">
        <f>COUNTIFS('Data-TSD+1'!$AC:$AC,AM$1,'Data-TSD+1'!$H:$H,"Very satisfactory (100%)")</f>
        <v>0</v>
      </c>
      <c r="AO21" s="27" t="str">
        <f t="shared" ref="AO21:AO25" si="99">IF(AM21 &lt;&gt; 0,AN21/AM21,"")</f>
        <v/>
      </c>
    </row>
    <row r="22" spans="1:41" x14ac:dyDescent="0.3">
      <c r="A22" s="25"/>
      <c r="B22" s="33" t="s">
        <v>120</v>
      </c>
      <c r="C22" s="21">
        <f>C21</f>
        <v>1</v>
      </c>
      <c r="D22" s="21">
        <f t="shared" ref="D22:D49" si="100">G22+J22+M22+P22+S22+V22+Y22+AB22+AE22+AH22+AK22+AN22</f>
        <v>0</v>
      </c>
      <c r="E22" s="27">
        <f t="shared" si="37"/>
        <v>0</v>
      </c>
      <c r="F22" s="21">
        <f>F21</f>
        <v>1</v>
      </c>
      <c r="G22" s="21">
        <f>COUNTIFS('Data-TSD+1'!$AC:$AC,F$1,'Data-TSD+1'!$H:$H,"Satisfactory (80%)")</f>
        <v>0</v>
      </c>
      <c r="H22" s="27">
        <f t="shared" si="38"/>
        <v>0</v>
      </c>
      <c r="I22" s="21">
        <f>I21</f>
        <v>0</v>
      </c>
      <c r="J22" s="21">
        <f>COUNTIFS('Data-TSD+1'!$AC:$AC,I$1,'Data-TSD+1'!$H:$H,"Satisfactory (80%)")</f>
        <v>0</v>
      </c>
      <c r="K22" s="27" t="str">
        <f t="shared" si="89"/>
        <v/>
      </c>
      <c r="L22" s="21">
        <f>L21</f>
        <v>0</v>
      </c>
      <c r="M22" s="21">
        <f>COUNTIFS('Data-TSD+1'!$AC:$AC,L$1,'Data-TSD+1'!$H:$H,"Satisfactory (80%)")</f>
        <v>0</v>
      </c>
      <c r="N22" s="27" t="str">
        <f t="shared" si="90"/>
        <v/>
      </c>
      <c r="O22" s="21">
        <f>O21</f>
        <v>0</v>
      </c>
      <c r="P22" s="21">
        <f>COUNTIFS('Data-TSD+1'!$AC:$AC,O$1,'Data-TSD+1'!$H:$H,"Satisfactory (80%)")</f>
        <v>0</v>
      </c>
      <c r="Q22" s="27" t="str">
        <f t="shared" si="91"/>
        <v/>
      </c>
      <c r="R22" s="21">
        <f>R21</f>
        <v>0</v>
      </c>
      <c r="S22" s="21">
        <f>COUNTIFS('Data-TSD+1'!$AC:$AC,R$1,'Data-TSD+1'!$H:$H,"Satisfactory (80%)")</f>
        <v>0</v>
      </c>
      <c r="T22" s="27" t="str">
        <f t="shared" si="92"/>
        <v/>
      </c>
      <c r="U22" s="21">
        <f>U21</f>
        <v>0</v>
      </c>
      <c r="V22" s="21">
        <f>COUNTIFS('Data-TSD+1'!$AC:$AC,U$1,'Data-TSD+1'!$H:$H,"Satisfactory (80%)")</f>
        <v>0</v>
      </c>
      <c r="W22" s="27" t="str">
        <f t="shared" si="93"/>
        <v/>
      </c>
      <c r="X22" s="21">
        <f>X21</f>
        <v>0</v>
      </c>
      <c r="Y22" s="21">
        <f>COUNTIFS('Data-TSD+1'!$AC:$AC,X$1,'Data-TSD+1'!$H:$H,"Satisfactory (80%)")</f>
        <v>0</v>
      </c>
      <c r="Z22" s="27" t="str">
        <f t="shared" si="94"/>
        <v/>
      </c>
      <c r="AA22" s="21">
        <f>AA21</f>
        <v>0</v>
      </c>
      <c r="AB22" s="21">
        <f>COUNTIFS('Data-TSD+1'!$AC:$AC,AA$1,'Data-TSD+1'!$H:$H,"Satisfactory (80%)")</f>
        <v>0</v>
      </c>
      <c r="AC22" s="27" t="str">
        <f t="shared" si="95"/>
        <v/>
      </c>
      <c r="AD22" s="21">
        <f>AD21</f>
        <v>0</v>
      </c>
      <c r="AE22" s="21">
        <f>COUNTIFS('Data-TSD+1'!$AC:$AC,AD$1,'Data-TSD+1'!$H:$H,"Satisfactory (80%)")</f>
        <v>0</v>
      </c>
      <c r="AF22" s="27" t="str">
        <f t="shared" si="96"/>
        <v/>
      </c>
      <c r="AG22" s="21">
        <f>AG21</f>
        <v>0</v>
      </c>
      <c r="AH22" s="21">
        <f>COUNTIFS('Data-TSD+1'!$AC:$AC,AG$1,'Data-TSD+1'!$H:$H,"Satisfactory (80%)")</f>
        <v>0</v>
      </c>
      <c r="AI22" s="27" t="str">
        <f t="shared" si="97"/>
        <v/>
      </c>
      <c r="AJ22" s="21">
        <f>AJ21</f>
        <v>0</v>
      </c>
      <c r="AK22" s="21">
        <f>COUNTIFS('Data-TSD+1'!$AC:$AC,AJ$1,'Data-TSD+1'!$H:$H,"Satisfactory (80%)")</f>
        <v>0</v>
      </c>
      <c r="AL22" s="27" t="str">
        <f t="shared" si="98"/>
        <v/>
      </c>
      <c r="AM22" s="21">
        <f>AM21</f>
        <v>0</v>
      </c>
      <c r="AN22" s="21">
        <f>COUNTIFS('Data-TSD+1'!$AC:$AC,AM$1,'Data-TSD+1'!$H:$H,"Satisfactory (80%)")</f>
        <v>0</v>
      </c>
      <c r="AO22" s="27" t="str">
        <f t="shared" si="99"/>
        <v/>
      </c>
    </row>
    <row r="23" spans="1:41" x14ac:dyDescent="0.3">
      <c r="A23" s="25"/>
      <c r="B23" s="33" t="s">
        <v>121</v>
      </c>
      <c r="C23" s="21">
        <f t="shared" ref="C23:C25" si="101">C22</f>
        <v>1</v>
      </c>
      <c r="D23" s="21">
        <f t="shared" si="100"/>
        <v>0</v>
      </c>
      <c r="E23" s="27">
        <f t="shared" si="37"/>
        <v>0</v>
      </c>
      <c r="F23" s="21">
        <f>F22</f>
        <v>1</v>
      </c>
      <c r="G23" s="21">
        <f>COUNTIFS('Data-TSD+1'!$AC:$AC,F$1,'Data-TSD+1'!$H:$H,"Average (60%)")</f>
        <v>0</v>
      </c>
      <c r="H23" s="27">
        <f t="shared" si="38"/>
        <v>0</v>
      </c>
      <c r="I23" s="21">
        <f>I22</f>
        <v>0</v>
      </c>
      <c r="J23" s="21">
        <f>COUNTIFS('Data-TSD+1'!$AC:$AC,I$1,'Data-TSD+1'!$H:$H,"Average (60%)")</f>
        <v>0</v>
      </c>
      <c r="K23" s="27" t="str">
        <f t="shared" si="89"/>
        <v/>
      </c>
      <c r="L23" s="21">
        <f>L22</f>
        <v>0</v>
      </c>
      <c r="M23" s="21">
        <f>COUNTIFS('Data-TSD+1'!$AC:$AC,L$1,'Data-TSD+1'!$H:$H,"Average (60%)")</f>
        <v>0</v>
      </c>
      <c r="N23" s="27" t="str">
        <f t="shared" si="90"/>
        <v/>
      </c>
      <c r="O23" s="21">
        <f>O22</f>
        <v>0</v>
      </c>
      <c r="P23" s="21">
        <f>COUNTIFS('Data-TSD+1'!$AC:$AC,O$1,'Data-TSD+1'!$H:$H,"Average (60%)")</f>
        <v>0</v>
      </c>
      <c r="Q23" s="27" t="str">
        <f t="shared" si="91"/>
        <v/>
      </c>
      <c r="R23" s="21">
        <f>R22</f>
        <v>0</v>
      </c>
      <c r="S23" s="21">
        <f>COUNTIFS('Data-TSD+1'!$AC:$AC,R$1,'Data-TSD+1'!$H:$H,"Average (60%)")</f>
        <v>0</v>
      </c>
      <c r="T23" s="27" t="str">
        <f t="shared" si="92"/>
        <v/>
      </c>
      <c r="U23" s="21">
        <f>U22</f>
        <v>0</v>
      </c>
      <c r="V23" s="21">
        <f>COUNTIFS('Data-TSD+1'!$AC:$AC,U$1,'Data-TSD+1'!$H:$H,"Average (60%)")</f>
        <v>0</v>
      </c>
      <c r="W23" s="27" t="str">
        <f t="shared" si="93"/>
        <v/>
      </c>
      <c r="X23" s="21">
        <f>X22</f>
        <v>0</v>
      </c>
      <c r="Y23" s="21">
        <f>COUNTIFS('Data-TSD+1'!$AC:$AC,X$1,'Data-TSD+1'!$H:$H,"Average (60%)")</f>
        <v>0</v>
      </c>
      <c r="Z23" s="27" t="str">
        <f t="shared" si="94"/>
        <v/>
      </c>
      <c r="AA23" s="21">
        <f>AA22</f>
        <v>0</v>
      </c>
      <c r="AB23" s="21">
        <f>COUNTIFS('Data-TSD+1'!$AC:$AC,AA$1,'Data-TSD+1'!$H:$H,"Average (60%)")</f>
        <v>0</v>
      </c>
      <c r="AC23" s="27" t="str">
        <f t="shared" si="95"/>
        <v/>
      </c>
      <c r="AD23" s="21">
        <f>AD22</f>
        <v>0</v>
      </c>
      <c r="AE23" s="21">
        <f>COUNTIFS('Data-TSD+1'!$AC:$AC,AD$1,'Data-TSD+1'!$H:$H,"Average (60%)")</f>
        <v>0</v>
      </c>
      <c r="AF23" s="27" t="str">
        <f t="shared" si="96"/>
        <v/>
      </c>
      <c r="AG23" s="21">
        <f>AG22</f>
        <v>0</v>
      </c>
      <c r="AH23" s="21">
        <f>COUNTIFS('Data-TSD+1'!$AC:$AC,AG$1,'Data-TSD+1'!$H:$H,"Average (60%)")</f>
        <v>0</v>
      </c>
      <c r="AI23" s="27" t="str">
        <f t="shared" si="97"/>
        <v/>
      </c>
      <c r="AJ23" s="21">
        <f>AJ22</f>
        <v>0</v>
      </c>
      <c r="AK23" s="21">
        <f>COUNTIFS('Data-TSD+1'!$AC:$AC,AJ$1,'Data-TSD+1'!$H:$H,"Average (60%)")</f>
        <v>0</v>
      </c>
      <c r="AL23" s="27" t="str">
        <f t="shared" si="98"/>
        <v/>
      </c>
      <c r="AM23" s="21">
        <f>AM22</f>
        <v>0</v>
      </c>
      <c r="AN23" s="21">
        <f>COUNTIFS('Data-TSD+1'!$AC:$AC,AM$1,'Data-TSD+1'!$H:$H,"Average (60%)")</f>
        <v>0</v>
      </c>
      <c r="AO23" s="27" t="str">
        <f t="shared" si="99"/>
        <v/>
      </c>
    </row>
    <row r="24" spans="1:41" x14ac:dyDescent="0.3">
      <c r="A24" s="25"/>
      <c r="B24" s="33" t="s">
        <v>122</v>
      </c>
      <c r="C24" s="21">
        <f t="shared" si="101"/>
        <v>1</v>
      </c>
      <c r="D24" s="21">
        <f t="shared" si="100"/>
        <v>0</v>
      </c>
      <c r="E24" s="27">
        <f t="shared" si="37"/>
        <v>0</v>
      </c>
      <c r="F24" s="21">
        <f>F23</f>
        <v>1</v>
      </c>
      <c r="G24" s="21">
        <f>COUNTIFS('Data-TSD+1'!$AC:$AC,F$1,'Data-TSD+1'!$H:$H,"Unsatisfactory (40%)")</f>
        <v>0</v>
      </c>
      <c r="H24" s="27">
        <f t="shared" si="38"/>
        <v>0</v>
      </c>
      <c r="I24" s="21">
        <f>I23</f>
        <v>0</v>
      </c>
      <c r="J24" s="21">
        <f>COUNTIFS('Data-TSD+1'!$AC:$AC,I$1,'Data-TSD+1'!$H:$H,"Unsatisfactory (40%)")</f>
        <v>0</v>
      </c>
      <c r="K24" s="27" t="str">
        <f t="shared" si="89"/>
        <v/>
      </c>
      <c r="L24" s="21">
        <f>L23</f>
        <v>0</v>
      </c>
      <c r="M24" s="21">
        <f>COUNTIFS('Data-TSD+1'!$AC:$AC,L$1,'Data-TSD+1'!$H:$H,"Unsatisfactory (40%)")</f>
        <v>0</v>
      </c>
      <c r="N24" s="27" t="str">
        <f t="shared" si="90"/>
        <v/>
      </c>
      <c r="O24" s="21">
        <f>O23</f>
        <v>0</v>
      </c>
      <c r="P24" s="21">
        <f>COUNTIFS('Data-TSD+1'!$AC:$AC,O$1,'Data-TSD+1'!$H:$H,"Unsatisfactory (40%)")</f>
        <v>0</v>
      </c>
      <c r="Q24" s="27" t="str">
        <f t="shared" si="91"/>
        <v/>
      </c>
      <c r="R24" s="21">
        <f>R23</f>
        <v>0</v>
      </c>
      <c r="S24" s="21">
        <f>COUNTIFS('Data-TSD+1'!$AC:$AC,R$1,'Data-TSD+1'!$H:$H,"Unsatisfactory (40%)")</f>
        <v>0</v>
      </c>
      <c r="T24" s="27" t="str">
        <f t="shared" si="92"/>
        <v/>
      </c>
      <c r="U24" s="21">
        <f>U23</f>
        <v>0</v>
      </c>
      <c r="V24" s="21">
        <f>COUNTIFS('Data-TSD+1'!$AC:$AC,U$1,'Data-TSD+1'!$H:$H,"Unsatisfactory (40%)")</f>
        <v>0</v>
      </c>
      <c r="W24" s="27" t="str">
        <f t="shared" si="93"/>
        <v/>
      </c>
      <c r="X24" s="21">
        <f>X23</f>
        <v>0</v>
      </c>
      <c r="Y24" s="21">
        <f>COUNTIFS('Data-TSD+1'!$AC:$AC,X$1,'Data-TSD+1'!$H:$H,"Unsatisfactory (40%)")</f>
        <v>0</v>
      </c>
      <c r="Z24" s="27" t="str">
        <f t="shared" si="94"/>
        <v/>
      </c>
      <c r="AA24" s="21">
        <f>AA23</f>
        <v>0</v>
      </c>
      <c r="AB24" s="21">
        <f>COUNTIFS('Data-TSD+1'!$AC:$AC,AA$1,'Data-TSD+1'!$H:$H,"Unsatisfactory (40%)")</f>
        <v>0</v>
      </c>
      <c r="AC24" s="27" t="str">
        <f t="shared" si="95"/>
        <v/>
      </c>
      <c r="AD24" s="21">
        <f>AD23</f>
        <v>0</v>
      </c>
      <c r="AE24" s="21">
        <f>COUNTIFS('Data-TSD+1'!$AC:$AC,AD$1,'Data-TSD+1'!$H:$H,"Unsatisfactory (40%)")</f>
        <v>0</v>
      </c>
      <c r="AF24" s="27" t="str">
        <f t="shared" si="96"/>
        <v/>
      </c>
      <c r="AG24" s="21">
        <f>AG23</f>
        <v>0</v>
      </c>
      <c r="AH24" s="21">
        <f>COUNTIFS('Data-TSD+1'!$AC:$AC,AG$1,'Data-TSD+1'!$H:$H,"Unsatisfactory (40%)")</f>
        <v>0</v>
      </c>
      <c r="AI24" s="27" t="str">
        <f t="shared" si="97"/>
        <v/>
      </c>
      <c r="AJ24" s="21">
        <f>AJ23</f>
        <v>0</v>
      </c>
      <c r="AK24" s="21">
        <f>COUNTIFS('Data-TSD+1'!$AC:$AC,AJ$1,'Data-TSD+1'!$H:$H,"Unsatisfactory (40%)")</f>
        <v>0</v>
      </c>
      <c r="AL24" s="27" t="str">
        <f t="shared" si="98"/>
        <v/>
      </c>
      <c r="AM24" s="21">
        <f>AM23</f>
        <v>0</v>
      </c>
      <c r="AN24" s="21">
        <f>COUNTIFS('Data-TSD+1'!$AC:$AC,AM$1,'Data-TSD+1'!$H:$H,"Unsatisfactory (40%)")</f>
        <v>0</v>
      </c>
      <c r="AO24" s="27" t="str">
        <f t="shared" si="99"/>
        <v/>
      </c>
    </row>
    <row r="25" spans="1:41" x14ac:dyDescent="0.3">
      <c r="A25" s="25"/>
      <c r="B25" s="33" t="s">
        <v>123</v>
      </c>
      <c r="C25" s="21">
        <f t="shared" si="101"/>
        <v>1</v>
      </c>
      <c r="D25" s="21">
        <f t="shared" si="100"/>
        <v>0</v>
      </c>
      <c r="E25" s="27">
        <f t="shared" si="37"/>
        <v>0</v>
      </c>
      <c r="F25" s="21">
        <f>F24</f>
        <v>1</v>
      </c>
      <c r="G25" s="21">
        <f>COUNTIFS('Data-TSD+1'!$AC:$AC,F$1,'Data-TSD+1'!$H:$H,"Very unsatisfactory (20%)")</f>
        <v>0</v>
      </c>
      <c r="H25" s="27">
        <f t="shared" si="38"/>
        <v>0</v>
      </c>
      <c r="I25" s="21">
        <f>I24</f>
        <v>0</v>
      </c>
      <c r="J25" s="21">
        <f>COUNTIFS('Data-TSD+1'!$AC:$AC,I$1,'Data-TSD+1'!$H:$H,"Very unsatisfactory (20%)")</f>
        <v>0</v>
      </c>
      <c r="K25" s="27" t="str">
        <f t="shared" si="89"/>
        <v/>
      </c>
      <c r="L25" s="21">
        <f>L24</f>
        <v>0</v>
      </c>
      <c r="M25" s="21">
        <f>COUNTIFS('Data-TSD+1'!$AC:$AC,L$1,'Data-TSD+1'!$H:$H,"Very unsatisfactory (20%)")</f>
        <v>0</v>
      </c>
      <c r="N25" s="27" t="str">
        <f t="shared" si="90"/>
        <v/>
      </c>
      <c r="O25" s="21">
        <f>O24</f>
        <v>0</v>
      </c>
      <c r="P25" s="21">
        <f>COUNTIFS('Data-TSD+1'!$AC:$AC,O$1,'Data-TSD+1'!$H:$H,"Very unsatisfactory (20%)")</f>
        <v>0</v>
      </c>
      <c r="Q25" s="27" t="str">
        <f t="shared" si="91"/>
        <v/>
      </c>
      <c r="R25" s="21">
        <f>R24</f>
        <v>0</v>
      </c>
      <c r="S25" s="21">
        <f>COUNTIFS('Data-TSD+1'!$AC:$AC,R$1,'Data-TSD+1'!$H:$H,"Very unsatisfactory (20%)")</f>
        <v>0</v>
      </c>
      <c r="T25" s="27" t="str">
        <f t="shared" si="92"/>
        <v/>
      </c>
      <c r="U25" s="21">
        <f>U24</f>
        <v>0</v>
      </c>
      <c r="V25" s="21">
        <f>COUNTIFS('Data-TSD+1'!$AC:$AC,U$1,'Data-TSD+1'!$H:$H,"Very unsatisfactory (20%)")</f>
        <v>0</v>
      </c>
      <c r="W25" s="27" t="str">
        <f t="shared" si="93"/>
        <v/>
      </c>
      <c r="X25" s="21">
        <f>X24</f>
        <v>0</v>
      </c>
      <c r="Y25" s="21">
        <f>COUNTIFS('Data-TSD+1'!$AC:$AC,X$1,'Data-TSD+1'!$H:$H,"Very unsatisfactory (20%)")</f>
        <v>0</v>
      </c>
      <c r="Z25" s="27" t="str">
        <f t="shared" si="94"/>
        <v/>
      </c>
      <c r="AA25" s="21">
        <f>AA24</f>
        <v>0</v>
      </c>
      <c r="AB25" s="21">
        <f>COUNTIFS('Data-TSD+1'!$AC:$AC,AA$1,'Data-TSD+1'!$H:$H,"Very unsatisfactory (20%)")</f>
        <v>0</v>
      </c>
      <c r="AC25" s="27" t="str">
        <f t="shared" si="95"/>
        <v/>
      </c>
      <c r="AD25" s="21">
        <f>AD24</f>
        <v>0</v>
      </c>
      <c r="AE25" s="21">
        <f>COUNTIFS('Data-TSD+1'!$AC:$AC,AD$1,'Data-TSD+1'!$H:$H,"Very unsatisfactory (20%)")</f>
        <v>0</v>
      </c>
      <c r="AF25" s="27" t="str">
        <f t="shared" si="96"/>
        <v/>
      </c>
      <c r="AG25" s="21">
        <f>AG24</f>
        <v>0</v>
      </c>
      <c r="AH25" s="21">
        <f>COUNTIFS('Data-TSD+1'!$AC:$AC,AG$1,'Data-TSD+1'!$H:$H,"Very unsatisfactory (20%)")</f>
        <v>0</v>
      </c>
      <c r="AI25" s="27" t="str">
        <f t="shared" si="97"/>
        <v/>
      </c>
      <c r="AJ25" s="21">
        <f>AJ24</f>
        <v>0</v>
      </c>
      <c r="AK25" s="21">
        <f>COUNTIFS('Data-TSD+1'!$AC:$AC,AJ$1,'Data-TSD+1'!$H:$H,"Very unsatisfactory (20%)")</f>
        <v>0</v>
      </c>
      <c r="AL25" s="27" t="str">
        <f t="shared" si="98"/>
        <v/>
      </c>
      <c r="AM25" s="21">
        <f>AM24</f>
        <v>0</v>
      </c>
      <c r="AN25" s="21">
        <f>COUNTIFS('Data-TSD+1'!$AC:$AC,AM$1,'Data-TSD+1'!$H:$H,"Very unsatisfactory (20%)")</f>
        <v>0</v>
      </c>
      <c r="AO25" s="27" t="str">
        <f t="shared" si="99"/>
        <v/>
      </c>
    </row>
    <row r="26" spans="1:41" x14ac:dyDescent="0.3">
      <c r="A26" s="21">
        <v>5</v>
      </c>
      <c r="B26" s="29" t="s">
        <v>73</v>
      </c>
      <c r="C26" s="21"/>
      <c r="D26" s="21"/>
      <c r="E26" s="27"/>
      <c r="F26" s="21"/>
      <c r="G26" s="21"/>
      <c r="H26" s="27"/>
      <c r="I26" s="21"/>
      <c r="J26" s="21"/>
      <c r="K26" s="27"/>
      <c r="L26" s="21"/>
      <c r="M26" s="21"/>
      <c r="N26" s="27"/>
      <c r="O26" s="21"/>
      <c r="P26" s="21"/>
      <c r="Q26" s="27"/>
      <c r="R26" s="21"/>
      <c r="S26" s="21"/>
      <c r="T26" s="27"/>
      <c r="U26" s="21"/>
      <c r="V26" s="21"/>
      <c r="W26" s="27"/>
      <c r="X26" s="21"/>
      <c r="Y26" s="21"/>
      <c r="Z26" s="27"/>
      <c r="AA26" s="21"/>
      <c r="AB26" s="21"/>
      <c r="AC26" s="27"/>
      <c r="AD26" s="21"/>
      <c r="AE26" s="21"/>
      <c r="AF26" s="27"/>
      <c r="AG26" s="21"/>
      <c r="AH26" s="21"/>
      <c r="AI26" s="27"/>
      <c r="AJ26" s="21"/>
      <c r="AK26" s="21"/>
      <c r="AL26" s="27"/>
      <c r="AM26" s="21"/>
      <c r="AN26" s="21"/>
      <c r="AO26" s="27"/>
    </row>
    <row r="27" spans="1:41" x14ac:dyDescent="0.3">
      <c r="A27" s="25"/>
      <c r="B27" s="33" t="s">
        <v>119</v>
      </c>
      <c r="C27" s="21">
        <f>COUNTIF('Data-TSD+1'!$M:$M,"&lt;&gt;" &amp; "")-1</f>
        <v>1</v>
      </c>
      <c r="D27" s="21">
        <f t="shared" si="100"/>
        <v>1</v>
      </c>
      <c r="E27" s="27">
        <f t="shared" si="37"/>
        <v>1</v>
      </c>
      <c r="F27" s="21">
        <f>COUNTIFS('Data-TSD+1'!$AC:$AC,F$1,'Data-TSD+1'!$M:$M,"&lt;&gt;" &amp; "")</f>
        <v>1</v>
      </c>
      <c r="G27" s="21">
        <f>COUNTIFS('Data-TSD+1'!$AC:$AC,F$1,'Data-TSD+1'!$M:$M,"Very satisfactory (100%)")</f>
        <v>1</v>
      </c>
      <c r="H27" s="27">
        <f t="shared" si="38"/>
        <v>1</v>
      </c>
      <c r="I27" s="21">
        <f>COUNTIFS('Data-TSD+1'!$AC:$AC,I$1,'Data-TSD+1'!$M:$M,"&lt;&gt;" &amp; "")</f>
        <v>0</v>
      </c>
      <c r="J27" s="21">
        <f>COUNTIFS('Data-TSD+1'!$AC:$AC,I$1,'Data-TSD+1'!$M:$M,"Very satisfactory (100%)")</f>
        <v>0</v>
      </c>
      <c r="K27" s="27" t="str">
        <f t="shared" ref="K27:K31" si="102">IF(I27 &lt;&gt; 0,J27/I27,"")</f>
        <v/>
      </c>
      <c r="L27" s="21">
        <f>COUNTIFS('Data-TSD+1'!$AC:$AC,L$1,'Data-TSD+1'!$M:$M,"&lt;&gt;" &amp; "")</f>
        <v>0</v>
      </c>
      <c r="M27" s="21">
        <f>COUNTIFS('Data-TSD+1'!$AC:$AC,L$1,'Data-TSD+1'!$M:$M,"Very satisfactory (100%)")</f>
        <v>0</v>
      </c>
      <c r="N27" s="27" t="str">
        <f t="shared" ref="N27:N31" si="103">IF(L27 &lt;&gt; 0,M27/L27,"")</f>
        <v/>
      </c>
      <c r="O27" s="21">
        <f>COUNTIFS('Data-TSD+1'!$AC:$AC,O$1,'Data-TSD+1'!$M:$M,"&lt;&gt;" &amp; "")</f>
        <v>0</v>
      </c>
      <c r="P27" s="21">
        <f>COUNTIFS('Data-TSD+1'!$AC:$AC,O$1,'Data-TSD+1'!$M:$M,"Very satisfactory (100%)")</f>
        <v>0</v>
      </c>
      <c r="Q27" s="27" t="str">
        <f t="shared" ref="Q27:Q31" si="104">IF(O27 &lt;&gt; 0,P27/O27,"")</f>
        <v/>
      </c>
      <c r="R27" s="21">
        <f>COUNTIFS('Data-TSD+1'!$AC:$AC,R$1,'Data-TSD+1'!$M:$M,"&lt;&gt;" &amp; "")</f>
        <v>0</v>
      </c>
      <c r="S27" s="21">
        <f>COUNTIFS('Data-TSD+1'!$AC:$AC,R$1,'Data-TSD+1'!$M:$M,"Very satisfactory (100%)")</f>
        <v>0</v>
      </c>
      <c r="T27" s="27" t="str">
        <f t="shared" ref="T27:T31" si="105">IF(R27 &lt;&gt; 0,S27/R27,"")</f>
        <v/>
      </c>
      <c r="U27" s="21">
        <f>COUNTIFS('Data-TSD+1'!$AC:$AC,U$1,'Data-TSD+1'!$M:$M,"&lt;&gt;" &amp; "")</f>
        <v>0</v>
      </c>
      <c r="V27" s="21">
        <f>COUNTIFS('Data-TSD+1'!$AC:$AC,U$1,'Data-TSD+1'!$M:$M,"Very satisfactory (100%)")</f>
        <v>0</v>
      </c>
      <c r="W27" s="27" t="str">
        <f t="shared" ref="W27:W31" si="106">IF(U27 &lt;&gt; 0,V27/U27,"")</f>
        <v/>
      </c>
      <c r="X27" s="21">
        <f>COUNTIFS('Data-TSD+1'!$AC:$AC,X$1,'Data-TSD+1'!$M:$M,"&lt;&gt;" &amp; "")</f>
        <v>0</v>
      </c>
      <c r="Y27" s="21">
        <f>COUNTIFS('Data-TSD+1'!$AC:$AC,X$1,'Data-TSD+1'!$M:$M,"Very satisfactory (100%)")</f>
        <v>0</v>
      </c>
      <c r="Z27" s="27" t="str">
        <f t="shared" ref="Z27:Z31" si="107">IF(X27 &lt;&gt; 0,Y27/X27,"")</f>
        <v/>
      </c>
      <c r="AA27" s="21">
        <f>COUNTIFS('Data-TSD+1'!$AC:$AC,AA$1,'Data-TSD+1'!$M:$M,"&lt;&gt;" &amp; "")</f>
        <v>0</v>
      </c>
      <c r="AB27" s="21">
        <f>COUNTIFS('Data-TSD+1'!$AC:$AC,AA$1,'Data-TSD+1'!$M:$M,"Very satisfactory (100%)")</f>
        <v>0</v>
      </c>
      <c r="AC27" s="27" t="str">
        <f t="shared" ref="AC27:AC31" si="108">IF(AA27 &lt;&gt; 0,AB27/AA27,"")</f>
        <v/>
      </c>
      <c r="AD27" s="21">
        <f>COUNTIFS('Data-TSD+1'!$AC:$AC,AD$1,'Data-TSD+1'!$M:$M,"&lt;&gt;" &amp; "")</f>
        <v>0</v>
      </c>
      <c r="AE27" s="21">
        <f>COUNTIFS('Data-TSD+1'!$AC:$AC,AD$1,'Data-TSD+1'!$M:$M,"Very satisfactory (100%)")</f>
        <v>0</v>
      </c>
      <c r="AF27" s="27" t="str">
        <f t="shared" ref="AF27:AF31" si="109">IF(AD27 &lt;&gt; 0,AE27/AD27,"")</f>
        <v/>
      </c>
      <c r="AG27" s="21">
        <f>COUNTIFS('Data-TSD+1'!$AC:$AC,AG$1,'Data-TSD+1'!$M:$M,"&lt;&gt;" &amp; "")</f>
        <v>0</v>
      </c>
      <c r="AH27" s="21">
        <f>COUNTIFS('Data-TSD+1'!$AC:$AC,AG$1,'Data-TSD+1'!$M:$M,"Very satisfactory (100%)")</f>
        <v>0</v>
      </c>
      <c r="AI27" s="27" t="str">
        <f t="shared" ref="AI27:AI31" si="110">IF(AG27 &lt;&gt; 0,AH27/AG27,"")</f>
        <v/>
      </c>
      <c r="AJ27" s="21">
        <f>COUNTIFS('Data-TSD+1'!$AC:$AC,AJ$1,'Data-TSD+1'!$M:$M,"&lt;&gt;" &amp; "")</f>
        <v>0</v>
      </c>
      <c r="AK27" s="21">
        <f>COUNTIFS('Data-TSD+1'!$AC:$AC,AJ$1,'Data-TSD+1'!$M:$M,"Very satisfactory (100%)")</f>
        <v>0</v>
      </c>
      <c r="AL27" s="27" t="str">
        <f t="shared" ref="AL27:AL31" si="111">IF(AJ27 &lt;&gt; 0,AK27/AJ27,"")</f>
        <v/>
      </c>
      <c r="AM27" s="21">
        <f>COUNTIFS('Data-TSD+1'!$AC:$AC,AM$1,'Data-TSD+1'!$M:$M,"&lt;&gt;" &amp; "")</f>
        <v>0</v>
      </c>
      <c r="AN27" s="21">
        <f>COUNTIFS('Data-TSD+1'!$AC:$AC,AM$1,'Data-TSD+1'!$M:$M,"Very satisfactory (100%)")</f>
        <v>0</v>
      </c>
      <c r="AO27" s="27" t="str">
        <f t="shared" ref="AO27:AO31" si="112">IF(AM27 &lt;&gt; 0,AN27/AM27,"")</f>
        <v/>
      </c>
    </row>
    <row r="28" spans="1:41" x14ac:dyDescent="0.3">
      <c r="A28" s="25"/>
      <c r="B28" s="33" t="s">
        <v>120</v>
      </c>
      <c r="C28" s="21">
        <f>C27</f>
        <v>1</v>
      </c>
      <c r="D28" s="21">
        <f t="shared" si="100"/>
        <v>0</v>
      </c>
      <c r="E28" s="27">
        <f t="shared" si="37"/>
        <v>0</v>
      </c>
      <c r="F28" s="21">
        <f>F27</f>
        <v>1</v>
      </c>
      <c r="G28" s="21">
        <f>COUNTIFS('Data-TSD+1'!$AC:$AC,F$1,'Data-TSD+1'!$M:$M,"Satisfactory (80%)")</f>
        <v>0</v>
      </c>
      <c r="H28" s="27">
        <f t="shared" si="38"/>
        <v>0</v>
      </c>
      <c r="I28" s="21">
        <f>I27</f>
        <v>0</v>
      </c>
      <c r="J28" s="21">
        <f>COUNTIFS('Data-TSD+1'!$AC:$AC,I$1,'Data-TSD+1'!$M:$M,"Satisfactory (80%)")</f>
        <v>0</v>
      </c>
      <c r="K28" s="27" t="str">
        <f t="shared" si="102"/>
        <v/>
      </c>
      <c r="L28" s="21">
        <f>L27</f>
        <v>0</v>
      </c>
      <c r="M28" s="21">
        <f>COUNTIFS('Data-TSD+1'!$AC:$AC,L$1,'Data-TSD+1'!$M:$M,"Satisfactory (80%)")</f>
        <v>0</v>
      </c>
      <c r="N28" s="27" t="str">
        <f t="shared" si="103"/>
        <v/>
      </c>
      <c r="O28" s="21">
        <f>O27</f>
        <v>0</v>
      </c>
      <c r="P28" s="21">
        <f>COUNTIFS('Data-TSD+1'!$AC:$AC,O$1,'Data-TSD+1'!$M:$M,"Satisfactory (80%)")</f>
        <v>0</v>
      </c>
      <c r="Q28" s="27" t="str">
        <f t="shared" si="104"/>
        <v/>
      </c>
      <c r="R28" s="21">
        <f>R27</f>
        <v>0</v>
      </c>
      <c r="S28" s="21">
        <f>COUNTIFS('Data-TSD+1'!$AC:$AC,R$1,'Data-TSD+1'!$M:$M,"Satisfactory (80%)")</f>
        <v>0</v>
      </c>
      <c r="T28" s="27" t="str">
        <f t="shared" si="105"/>
        <v/>
      </c>
      <c r="U28" s="21">
        <f>U27</f>
        <v>0</v>
      </c>
      <c r="V28" s="21">
        <f>COUNTIFS('Data-TSD+1'!$AC:$AC,U$1,'Data-TSD+1'!$M:$M,"Satisfactory (80%)")</f>
        <v>0</v>
      </c>
      <c r="W28" s="27" t="str">
        <f t="shared" si="106"/>
        <v/>
      </c>
      <c r="X28" s="21">
        <f>X27</f>
        <v>0</v>
      </c>
      <c r="Y28" s="21">
        <f>COUNTIFS('Data-TSD+1'!$AC:$AC,X$1,'Data-TSD+1'!$M:$M,"Satisfactory (80%)")</f>
        <v>0</v>
      </c>
      <c r="Z28" s="27" t="str">
        <f t="shared" si="107"/>
        <v/>
      </c>
      <c r="AA28" s="21">
        <f>AA27</f>
        <v>0</v>
      </c>
      <c r="AB28" s="21">
        <f>COUNTIFS('Data-TSD+1'!$AC:$AC,AA$1,'Data-TSD+1'!$M:$M,"Satisfactory (80%)")</f>
        <v>0</v>
      </c>
      <c r="AC28" s="27" t="str">
        <f t="shared" si="108"/>
        <v/>
      </c>
      <c r="AD28" s="21">
        <f>AD27</f>
        <v>0</v>
      </c>
      <c r="AE28" s="21">
        <f>COUNTIFS('Data-TSD+1'!$AC:$AC,AD$1,'Data-TSD+1'!$M:$M,"Satisfactory (80%)")</f>
        <v>0</v>
      </c>
      <c r="AF28" s="27" t="str">
        <f t="shared" si="109"/>
        <v/>
      </c>
      <c r="AG28" s="21">
        <f>AG27</f>
        <v>0</v>
      </c>
      <c r="AH28" s="21">
        <f>COUNTIFS('Data-TSD+1'!$AC:$AC,AG$1,'Data-TSD+1'!$M:$M,"Satisfactory (80%)")</f>
        <v>0</v>
      </c>
      <c r="AI28" s="27" t="str">
        <f t="shared" si="110"/>
        <v/>
      </c>
      <c r="AJ28" s="21">
        <f>AJ27</f>
        <v>0</v>
      </c>
      <c r="AK28" s="21">
        <f>COUNTIFS('Data-TSD+1'!$AC:$AC,AJ$1,'Data-TSD+1'!$M:$M,"Satisfactory (80%)")</f>
        <v>0</v>
      </c>
      <c r="AL28" s="27" t="str">
        <f t="shared" si="111"/>
        <v/>
      </c>
      <c r="AM28" s="21">
        <f>AM27</f>
        <v>0</v>
      </c>
      <c r="AN28" s="21">
        <f>COUNTIFS('Data-TSD+1'!$AC:$AC,AM$1,'Data-TSD+1'!$M:$M,"Satisfactory (80%)")</f>
        <v>0</v>
      </c>
      <c r="AO28" s="27" t="str">
        <f t="shared" si="112"/>
        <v/>
      </c>
    </row>
    <row r="29" spans="1:41" x14ac:dyDescent="0.3">
      <c r="A29" s="25"/>
      <c r="B29" s="33" t="s">
        <v>121</v>
      </c>
      <c r="C29" s="21">
        <f t="shared" ref="C29:C31" si="113">C28</f>
        <v>1</v>
      </c>
      <c r="D29" s="21">
        <f t="shared" si="100"/>
        <v>0</v>
      </c>
      <c r="E29" s="27">
        <f t="shared" si="37"/>
        <v>0</v>
      </c>
      <c r="F29" s="21">
        <f>F28</f>
        <v>1</v>
      </c>
      <c r="G29" s="21">
        <f>COUNTIFS('Data-TSD+1'!$AC:$AC,F$1,'Data-TSD+1'!$M:$M,"Average (60%)")</f>
        <v>0</v>
      </c>
      <c r="H29" s="27">
        <f t="shared" si="38"/>
        <v>0</v>
      </c>
      <c r="I29" s="21">
        <f>I28</f>
        <v>0</v>
      </c>
      <c r="J29" s="21">
        <f>COUNTIFS('Data-TSD+1'!$AC:$AC,I$1,'Data-TSD+1'!$M:$M,"Average (60%)")</f>
        <v>0</v>
      </c>
      <c r="K29" s="27" t="str">
        <f t="shared" si="102"/>
        <v/>
      </c>
      <c r="L29" s="21">
        <f>L28</f>
        <v>0</v>
      </c>
      <c r="M29" s="21">
        <f>COUNTIFS('Data-TSD+1'!$AC:$AC,L$1,'Data-TSD+1'!$M:$M,"Average (60%)")</f>
        <v>0</v>
      </c>
      <c r="N29" s="27" t="str">
        <f t="shared" si="103"/>
        <v/>
      </c>
      <c r="O29" s="21">
        <f>O28</f>
        <v>0</v>
      </c>
      <c r="P29" s="21">
        <f>COUNTIFS('Data-TSD+1'!$AC:$AC,O$1,'Data-TSD+1'!$M:$M,"Average (60%)")</f>
        <v>0</v>
      </c>
      <c r="Q29" s="27" t="str">
        <f t="shared" si="104"/>
        <v/>
      </c>
      <c r="R29" s="21">
        <f>R28</f>
        <v>0</v>
      </c>
      <c r="S29" s="21">
        <f>COUNTIFS('Data-TSD+1'!$AC:$AC,R$1,'Data-TSD+1'!$M:$M,"Average (60%)")</f>
        <v>0</v>
      </c>
      <c r="T29" s="27" t="str">
        <f t="shared" si="105"/>
        <v/>
      </c>
      <c r="U29" s="21">
        <f>U28</f>
        <v>0</v>
      </c>
      <c r="V29" s="21">
        <f>COUNTIFS('Data-TSD+1'!$AC:$AC,U$1,'Data-TSD+1'!$M:$M,"Average (60%)")</f>
        <v>0</v>
      </c>
      <c r="W29" s="27" t="str">
        <f t="shared" si="106"/>
        <v/>
      </c>
      <c r="X29" s="21">
        <f>X28</f>
        <v>0</v>
      </c>
      <c r="Y29" s="21">
        <f>COUNTIFS('Data-TSD+1'!$AC:$AC,X$1,'Data-TSD+1'!$M:$M,"Average (60%)")</f>
        <v>0</v>
      </c>
      <c r="Z29" s="27" t="str">
        <f t="shared" si="107"/>
        <v/>
      </c>
      <c r="AA29" s="21">
        <f>AA28</f>
        <v>0</v>
      </c>
      <c r="AB29" s="21">
        <f>COUNTIFS('Data-TSD+1'!$AC:$AC,AA$1,'Data-TSD+1'!$M:$M,"Average (60%)")</f>
        <v>0</v>
      </c>
      <c r="AC29" s="27" t="str">
        <f t="shared" si="108"/>
        <v/>
      </c>
      <c r="AD29" s="21">
        <f>AD28</f>
        <v>0</v>
      </c>
      <c r="AE29" s="21">
        <f>COUNTIFS('Data-TSD+1'!$AC:$AC,AD$1,'Data-TSD+1'!$M:$M,"Average (60%)")</f>
        <v>0</v>
      </c>
      <c r="AF29" s="27" t="str">
        <f t="shared" si="109"/>
        <v/>
      </c>
      <c r="AG29" s="21">
        <f>AG28</f>
        <v>0</v>
      </c>
      <c r="AH29" s="21">
        <f>COUNTIFS('Data-TSD+1'!$AC:$AC,AG$1,'Data-TSD+1'!$M:$M,"Average (60%)")</f>
        <v>0</v>
      </c>
      <c r="AI29" s="27" t="str">
        <f t="shared" si="110"/>
        <v/>
      </c>
      <c r="AJ29" s="21">
        <f>AJ28</f>
        <v>0</v>
      </c>
      <c r="AK29" s="21">
        <f>COUNTIFS('Data-TSD+1'!$AC:$AC,AJ$1,'Data-TSD+1'!$M:$M,"Average (60%)")</f>
        <v>0</v>
      </c>
      <c r="AL29" s="27" t="str">
        <f t="shared" si="111"/>
        <v/>
      </c>
      <c r="AM29" s="21">
        <f>AM28</f>
        <v>0</v>
      </c>
      <c r="AN29" s="21">
        <f>COUNTIFS('Data-TSD+1'!$AC:$AC,AM$1,'Data-TSD+1'!$M:$M,"Average (60%)")</f>
        <v>0</v>
      </c>
      <c r="AO29" s="27" t="str">
        <f t="shared" si="112"/>
        <v/>
      </c>
    </row>
    <row r="30" spans="1:41" x14ac:dyDescent="0.3">
      <c r="A30" s="25"/>
      <c r="B30" s="33" t="s">
        <v>122</v>
      </c>
      <c r="C30" s="21">
        <f t="shared" si="113"/>
        <v>1</v>
      </c>
      <c r="D30" s="21">
        <f t="shared" si="100"/>
        <v>0</v>
      </c>
      <c r="E30" s="27">
        <f t="shared" si="37"/>
        <v>0</v>
      </c>
      <c r="F30" s="21">
        <f>F29</f>
        <v>1</v>
      </c>
      <c r="G30" s="21">
        <f>COUNTIFS('Data-TSD+1'!$AC:$AC,F$1,'Data-TSD+1'!$M:$M,"Unsatisfactory (40%)")</f>
        <v>0</v>
      </c>
      <c r="H30" s="27">
        <f t="shared" si="38"/>
        <v>0</v>
      </c>
      <c r="I30" s="21">
        <f>I29</f>
        <v>0</v>
      </c>
      <c r="J30" s="21">
        <f>COUNTIFS('Data-TSD+1'!$AC:$AC,I$1,'Data-TSD+1'!$M:$M,"Unsatisfactory (40%)")</f>
        <v>0</v>
      </c>
      <c r="K30" s="27" t="str">
        <f t="shared" si="102"/>
        <v/>
      </c>
      <c r="L30" s="21">
        <f>L29</f>
        <v>0</v>
      </c>
      <c r="M30" s="21">
        <f>COUNTIFS('Data-TSD+1'!$AC:$AC,L$1,'Data-TSD+1'!$M:$M,"Unsatisfactory (40%)")</f>
        <v>0</v>
      </c>
      <c r="N30" s="27" t="str">
        <f t="shared" si="103"/>
        <v/>
      </c>
      <c r="O30" s="21">
        <f>O29</f>
        <v>0</v>
      </c>
      <c r="P30" s="21">
        <f>COUNTIFS('Data-TSD+1'!$AC:$AC,O$1,'Data-TSD+1'!$M:$M,"Unsatisfactory (40%)")</f>
        <v>0</v>
      </c>
      <c r="Q30" s="27" t="str">
        <f t="shared" si="104"/>
        <v/>
      </c>
      <c r="R30" s="21">
        <f>R29</f>
        <v>0</v>
      </c>
      <c r="S30" s="21">
        <f>COUNTIFS('Data-TSD+1'!$AC:$AC,R$1,'Data-TSD+1'!$M:$M,"Unsatisfactory (40%)")</f>
        <v>0</v>
      </c>
      <c r="T30" s="27" t="str">
        <f t="shared" si="105"/>
        <v/>
      </c>
      <c r="U30" s="21">
        <f>U29</f>
        <v>0</v>
      </c>
      <c r="V30" s="21">
        <f>COUNTIFS('Data-TSD+1'!$AC:$AC,U$1,'Data-TSD+1'!$M:$M,"Unsatisfactory (40%)")</f>
        <v>0</v>
      </c>
      <c r="W30" s="27" t="str">
        <f t="shared" si="106"/>
        <v/>
      </c>
      <c r="X30" s="21">
        <f>X29</f>
        <v>0</v>
      </c>
      <c r="Y30" s="21">
        <f>COUNTIFS('Data-TSD+1'!$AC:$AC,X$1,'Data-TSD+1'!$M:$M,"Unsatisfactory (40%)")</f>
        <v>0</v>
      </c>
      <c r="Z30" s="27" t="str">
        <f t="shared" si="107"/>
        <v/>
      </c>
      <c r="AA30" s="21">
        <f>AA29</f>
        <v>0</v>
      </c>
      <c r="AB30" s="21">
        <f>COUNTIFS('Data-TSD+1'!$AC:$AC,AA$1,'Data-TSD+1'!$M:$M,"Unsatisfactory (40%)")</f>
        <v>0</v>
      </c>
      <c r="AC30" s="27" t="str">
        <f t="shared" si="108"/>
        <v/>
      </c>
      <c r="AD30" s="21">
        <f>AD29</f>
        <v>0</v>
      </c>
      <c r="AE30" s="21">
        <f>COUNTIFS('Data-TSD+1'!$AC:$AC,AD$1,'Data-TSD+1'!$M:$M,"Unsatisfactory (40%)")</f>
        <v>0</v>
      </c>
      <c r="AF30" s="27" t="str">
        <f t="shared" si="109"/>
        <v/>
      </c>
      <c r="AG30" s="21">
        <f>AG29</f>
        <v>0</v>
      </c>
      <c r="AH30" s="21">
        <f>COUNTIFS('Data-TSD+1'!$AC:$AC,AG$1,'Data-TSD+1'!$M:$M,"Unsatisfactory (40%)")</f>
        <v>0</v>
      </c>
      <c r="AI30" s="27" t="str">
        <f t="shared" si="110"/>
        <v/>
      </c>
      <c r="AJ30" s="21">
        <f>AJ29</f>
        <v>0</v>
      </c>
      <c r="AK30" s="21">
        <f>COUNTIFS('Data-TSD+1'!$AC:$AC,AJ$1,'Data-TSD+1'!$M:$M,"Unsatisfactory (40%)")</f>
        <v>0</v>
      </c>
      <c r="AL30" s="27" t="str">
        <f t="shared" si="111"/>
        <v/>
      </c>
      <c r="AM30" s="21">
        <f>AM29</f>
        <v>0</v>
      </c>
      <c r="AN30" s="21">
        <f>COUNTIFS('Data-TSD+1'!$AC:$AC,AM$1,'Data-TSD+1'!$M:$M,"Unsatisfactory (40%)")</f>
        <v>0</v>
      </c>
      <c r="AO30" s="27" t="str">
        <f t="shared" si="112"/>
        <v/>
      </c>
    </row>
    <row r="31" spans="1:41" x14ac:dyDescent="0.3">
      <c r="A31" s="25"/>
      <c r="B31" s="33" t="s">
        <v>123</v>
      </c>
      <c r="C31" s="21">
        <f t="shared" si="113"/>
        <v>1</v>
      </c>
      <c r="D31" s="21">
        <f t="shared" si="100"/>
        <v>0</v>
      </c>
      <c r="E31" s="27">
        <f t="shared" si="37"/>
        <v>0</v>
      </c>
      <c r="F31" s="21">
        <f>F30</f>
        <v>1</v>
      </c>
      <c r="G31" s="21">
        <f>COUNTIFS('Data-TSD+1'!$AC:$AC,F$1,'Data-TSD+1'!$M:$M,"Very unsatisfactory (20%)")</f>
        <v>0</v>
      </c>
      <c r="H31" s="27">
        <f t="shared" si="38"/>
        <v>0</v>
      </c>
      <c r="I31" s="21">
        <f>I30</f>
        <v>0</v>
      </c>
      <c r="J31" s="21">
        <f>COUNTIFS('Data-TSD+1'!$AC:$AC,I$1,'Data-TSD+1'!$M:$M,"Very unsatisfactory (20%)")</f>
        <v>0</v>
      </c>
      <c r="K31" s="27" t="str">
        <f t="shared" si="102"/>
        <v/>
      </c>
      <c r="L31" s="21">
        <f>L30</f>
        <v>0</v>
      </c>
      <c r="M31" s="21">
        <f>COUNTIFS('Data-TSD+1'!$AC:$AC,L$1,'Data-TSD+1'!$M:$M,"Very unsatisfactory (20%)")</f>
        <v>0</v>
      </c>
      <c r="N31" s="27" t="str">
        <f t="shared" si="103"/>
        <v/>
      </c>
      <c r="O31" s="21">
        <f>O30</f>
        <v>0</v>
      </c>
      <c r="P31" s="21">
        <f>COUNTIFS('Data-TSD+1'!$AC:$AC,O$1,'Data-TSD+1'!$M:$M,"Very unsatisfactory (20%)")</f>
        <v>0</v>
      </c>
      <c r="Q31" s="27" t="str">
        <f t="shared" si="104"/>
        <v/>
      </c>
      <c r="R31" s="21">
        <f>R30</f>
        <v>0</v>
      </c>
      <c r="S31" s="21">
        <f>COUNTIFS('Data-TSD+1'!$AC:$AC,R$1,'Data-TSD+1'!$M:$M,"Very unsatisfactory (20%)")</f>
        <v>0</v>
      </c>
      <c r="T31" s="27" t="str">
        <f t="shared" si="105"/>
        <v/>
      </c>
      <c r="U31" s="21">
        <f>U30</f>
        <v>0</v>
      </c>
      <c r="V31" s="21">
        <f>COUNTIFS('Data-TSD+1'!$AC:$AC,U$1,'Data-TSD+1'!$M:$M,"Very unsatisfactory (20%)")</f>
        <v>0</v>
      </c>
      <c r="W31" s="27" t="str">
        <f t="shared" si="106"/>
        <v/>
      </c>
      <c r="X31" s="21">
        <f>X30</f>
        <v>0</v>
      </c>
      <c r="Y31" s="21">
        <f>COUNTIFS('Data-TSD+1'!$AC:$AC,X$1,'Data-TSD+1'!$M:$M,"Very unsatisfactory (20%)")</f>
        <v>0</v>
      </c>
      <c r="Z31" s="27" t="str">
        <f t="shared" si="107"/>
        <v/>
      </c>
      <c r="AA31" s="21">
        <f>AA30</f>
        <v>0</v>
      </c>
      <c r="AB31" s="21">
        <f>COUNTIFS('Data-TSD+1'!$AC:$AC,AA$1,'Data-TSD+1'!$M:$M,"Very unsatisfactory (20%)")</f>
        <v>0</v>
      </c>
      <c r="AC31" s="27" t="str">
        <f t="shared" si="108"/>
        <v/>
      </c>
      <c r="AD31" s="21">
        <f>AD30</f>
        <v>0</v>
      </c>
      <c r="AE31" s="21">
        <f>COUNTIFS('Data-TSD+1'!$AC:$AC,AD$1,'Data-TSD+1'!$M:$M,"Very unsatisfactory (20%)")</f>
        <v>0</v>
      </c>
      <c r="AF31" s="27" t="str">
        <f t="shared" si="109"/>
        <v/>
      </c>
      <c r="AG31" s="21">
        <f>AG30</f>
        <v>0</v>
      </c>
      <c r="AH31" s="21">
        <f>COUNTIFS('Data-TSD+1'!$AC:$AC,AG$1,'Data-TSD+1'!$M:$M,"Very unsatisfactory (20%)")</f>
        <v>0</v>
      </c>
      <c r="AI31" s="27" t="str">
        <f t="shared" si="110"/>
        <v/>
      </c>
      <c r="AJ31" s="21">
        <f>AJ30</f>
        <v>0</v>
      </c>
      <c r="AK31" s="21">
        <f>COUNTIFS('Data-TSD+1'!$AC:$AC,AJ$1,'Data-TSD+1'!$M:$M,"Very unsatisfactory (20%)")</f>
        <v>0</v>
      </c>
      <c r="AL31" s="27" t="str">
        <f t="shared" si="111"/>
        <v/>
      </c>
      <c r="AM31" s="21">
        <f>AM30</f>
        <v>0</v>
      </c>
      <c r="AN31" s="21">
        <f>COUNTIFS('Data-TSD+1'!$AC:$AC,AM$1,'Data-TSD+1'!$M:$M,"Very unsatisfactory (20%)")</f>
        <v>0</v>
      </c>
      <c r="AO31" s="27" t="str">
        <f t="shared" si="112"/>
        <v/>
      </c>
    </row>
    <row r="32" spans="1:41" x14ac:dyDescent="0.3">
      <c r="A32" s="21">
        <v>6</v>
      </c>
      <c r="B32" s="29" t="s">
        <v>74</v>
      </c>
      <c r="C32" s="21"/>
      <c r="D32" s="21"/>
      <c r="E32" s="27"/>
      <c r="F32" s="21"/>
      <c r="G32" s="21"/>
      <c r="H32" s="27"/>
      <c r="I32" s="21"/>
      <c r="J32" s="21"/>
      <c r="K32" s="27"/>
      <c r="L32" s="21"/>
      <c r="M32" s="21"/>
      <c r="N32" s="27"/>
      <c r="O32" s="21"/>
      <c r="P32" s="21"/>
      <c r="Q32" s="27"/>
      <c r="R32" s="21"/>
      <c r="S32" s="21"/>
      <c r="T32" s="27"/>
      <c r="U32" s="21"/>
      <c r="V32" s="21"/>
      <c r="W32" s="27"/>
      <c r="X32" s="21"/>
      <c r="Y32" s="21"/>
      <c r="Z32" s="27"/>
      <c r="AA32" s="21"/>
      <c r="AB32" s="21"/>
      <c r="AC32" s="27"/>
      <c r="AD32" s="21"/>
      <c r="AE32" s="21"/>
      <c r="AF32" s="27"/>
      <c r="AG32" s="21"/>
      <c r="AH32" s="21"/>
      <c r="AI32" s="27"/>
      <c r="AJ32" s="21"/>
      <c r="AK32" s="21"/>
      <c r="AL32" s="27"/>
      <c r="AM32" s="21"/>
      <c r="AN32" s="21"/>
      <c r="AO32" s="27"/>
    </row>
    <row r="33" spans="1:41" x14ac:dyDescent="0.3">
      <c r="A33" s="25"/>
      <c r="B33" s="33" t="s">
        <v>119</v>
      </c>
      <c r="C33" s="21">
        <f>COUNTIF('Data-TSD+1'!$N:$N,"&lt;&gt;" &amp; "")-1</f>
        <v>1</v>
      </c>
      <c r="D33" s="21">
        <f t="shared" si="100"/>
        <v>1</v>
      </c>
      <c r="E33" s="27">
        <f t="shared" ref="E33:E37" si="114">IF(C33 &lt;&gt; 0,D33/C33,"")</f>
        <v>1</v>
      </c>
      <c r="F33" s="21">
        <f>COUNTIFS('Data-TSD+1'!$AC:$AC,F$1,'Data-TSD+1'!$N:$N,"&lt;&gt;" &amp; "")</f>
        <v>1</v>
      </c>
      <c r="G33" s="21">
        <f>COUNTIFS('Data-TSD+1'!$AC:$AC,F$1,'Data-TSD+1'!$N:$N,"Very satisfactory (100%)")</f>
        <v>1</v>
      </c>
      <c r="H33" s="27">
        <f t="shared" ref="H33:H37" si="115">IF(F33 &lt;&gt; 0,G33/F33,"")</f>
        <v>1</v>
      </c>
      <c r="I33" s="21">
        <f>COUNTIFS('Data-TSD+1'!$AC:$AC,I$1,'Data-TSD+1'!$N:$N,"&lt;&gt;" &amp; "")</f>
        <v>0</v>
      </c>
      <c r="J33" s="21">
        <f>COUNTIFS('Data-TSD+1'!$AC:$AC,I$1,'Data-TSD+1'!$N:$N,"Very satisfactory (100%)")</f>
        <v>0</v>
      </c>
      <c r="K33" s="27" t="str">
        <f t="shared" ref="K33:K37" si="116">IF(I33 &lt;&gt; 0,J33/I33,"")</f>
        <v/>
      </c>
      <c r="L33" s="21">
        <f>COUNTIFS('Data-TSD+1'!$AC:$AC,L$1,'Data-TSD+1'!$N:$N,"&lt;&gt;" &amp; "")</f>
        <v>0</v>
      </c>
      <c r="M33" s="21">
        <f>COUNTIFS('Data-TSD+1'!$AC:$AC,L$1,'Data-TSD+1'!$N:$N,"Very satisfactory (100%)")</f>
        <v>0</v>
      </c>
      <c r="N33" s="27" t="str">
        <f t="shared" ref="N33:N37" si="117">IF(L33 &lt;&gt; 0,M33/L33,"")</f>
        <v/>
      </c>
      <c r="O33" s="21">
        <f>COUNTIFS('Data-TSD+1'!$AC:$AC,O$1,'Data-TSD+1'!$N:$N,"&lt;&gt;" &amp; "")</f>
        <v>0</v>
      </c>
      <c r="P33" s="21">
        <f>COUNTIFS('Data-TSD+1'!$AC:$AC,O$1,'Data-TSD+1'!$N:$N,"Very satisfactory (100%)")</f>
        <v>0</v>
      </c>
      <c r="Q33" s="27" t="str">
        <f t="shared" ref="Q33:Q37" si="118">IF(O33 &lt;&gt; 0,P33/O33,"")</f>
        <v/>
      </c>
      <c r="R33" s="21">
        <f>COUNTIFS('Data-TSD+1'!$AC:$AC,R$1,'Data-TSD+1'!$N:$N,"&lt;&gt;" &amp; "")</f>
        <v>0</v>
      </c>
      <c r="S33" s="21">
        <f>COUNTIFS('Data-TSD+1'!$AC:$AC,R$1,'Data-TSD+1'!$N:$N,"Very satisfactory (100%)")</f>
        <v>0</v>
      </c>
      <c r="T33" s="27" t="str">
        <f t="shared" ref="T33:T37" si="119">IF(R33 &lt;&gt; 0,S33/R33,"")</f>
        <v/>
      </c>
      <c r="U33" s="21">
        <f>COUNTIFS('Data-TSD+1'!$AC:$AC,U$1,'Data-TSD+1'!$N:$N,"&lt;&gt;" &amp; "")</f>
        <v>0</v>
      </c>
      <c r="V33" s="21">
        <f>COUNTIFS('Data-TSD+1'!$AC:$AC,U$1,'Data-TSD+1'!$N:$N,"Very satisfactory (100%)")</f>
        <v>0</v>
      </c>
      <c r="W33" s="27" t="str">
        <f t="shared" ref="W33:W37" si="120">IF(U33 &lt;&gt; 0,V33/U33,"")</f>
        <v/>
      </c>
      <c r="X33" s="21">
        <f>COUNTIFS('Data-TSD+1'!$AC:$AC,X$1,'Data-TSD+1'!$N:$N,"&lt;&gt;" &amp; "")</f>
        <v>0</v>
      </c>
      <c r="Y33" s="21">
        <f>COUNTIFS('Data-TSD+1'!$AC:$AC,X$1,'Data-TSD+1'!$N:$N,"Very satisfactory (100%)")</f>
        <v>0</v>
      </c>
      <c r="Z33" s="27" t="str">
        <f t="shared" ref="Z33:Z37" si="121">IF(X33 &lt;&gt; 0,Y33/X33,"")</f>
        <v/>
      </c>
      <c r="AA33" s="21">
        <f>COUNTIFS('Data-TSD+1'!$AC:$AC,AA$1,'Data-TSD+1'!$N:$N,"&lt;&gt;" &amp; "")</f>
        <v>0</v>
      </c>
      <c r="AB33" s="21">
        <f>COUNTIFS('Data-TSD+1'!$AC:$AC,AA$1,'Data-TSD+1'!$N:$N,"Very satisfactory (100%)")</f>
        <v>0</v>
      </c>
      <c r="AC33" s="27" t="str">
        <f t="shared" ref="AC33:AC37" si="122">IF(AA33 &lt;&gt; 0,AB33/AA33,"")</f>
        <v/>
      </c>
      <c r="AD33" s="21">
        <f>COUNTIFS('Data-TSD+1'!$AC:$AC,AD$1,'Data-TSD+1'!$N:$N,"&lt;&gt;" &amp; "")</f>
        <v>0</v>
      </c>
      <c r="AE33" s="21">
        <f>COUNTIFS('Data-TSD+1'!$AC:$AC,AD$1,'Data-TSD+1'!$N:$N,"Very satisfactory (100%)")</f>
        <v>0</v>
      </c>
      <c r="AF33" s="27" t="str">
        <f t="shared" ref="AF33:AF37" si="123">IF(AD33 &lt;&gt; 0,AE33/AD33,"")</f>
        <v/>
      </c>
      <c r="AG33" s="21">
        <f>COUNTIFS('Data-TSD+1'!$AC:$AC,AG$1,'Data-TSD+1'!$N:$N,"&lt;&gt;" &amp; "")</f>
        <v>0</v>
      </c>
      <c r="AH33" s="21">
        <f>COUNTIFS('Data-TSD+1'!$AC:$AC,AG$1,'Data-TSD+1'!$N:$N,"Very satisfactory (100%)")</f>
        <v>0</v>
      </c>
      <c r="AI33" s="27" t="str">
        <f t="shared" ref="AI33:AI37" si="124">IF(AG33 &lt;&gt; 0,AH33/AG33,"")</f>
        <v/>
      </c>
      <c r="AJ33" s="21">
        <f>COUNTIFS('Data-TSD+1'!$AC:$AC,AJ$1,'Data-TSD+1'!$N:$N,"&lt;&gt;" &amp; "")</f>
        <v>0</v>
      </c>
      <c r="AK33" s="21">
        <f>COUNTIFS('Data-TSD+1'!$AC:$AC,AJ$1,'Data-TSD+1'!$N:$N,"Very satisfactory (100%)")</f>
        <v>0</v>
      </c>
      <c r="AL33" s="27" t="str">
        <f t="shared" ref="AL33:AL37" si="125">IF(AJ33 &lt;&gt; 0,AK33/AJ33,"")</f>
        <v/>
      </c>
      <c r="AM33" s="21">
        <f>COUNTIFS('Data-TSD+1'!$AC:$AC,AM$1,'Data-TSD+1'!$N:$N,"&lt;&gt;" &amp; "")</f>
        <v>0</v>
      </c>
      <c r="AN33" s="21">
        <f>COUNTIFS('Data-TSD+1'!$AC:$AC,AM$1,'Data-TSD+1'!$N:$N,"Very satisfactory (100%)")</f>
        <v>0</v>
      </c>
      <c r="AO33" s="27" t="str">
        <f t="shared" ref="AO33:AO37" si="126">IF(AM33 &lt;&gt; 0,AN33/AM33,"")</f>
        <v/>
      </c>
    </row>
    <row r="34" spans="1:41" x14ac:dyDescent="0.3">
      <c r="A34" s="25"/>
      <c r="B34" s="33" t="s">
        <v>120</v>
      </c>
      <c r="C34" s="21">
        <f>C33</f>
        <v>1</v>
      </c>
      <c r="D34" s="21">
        <f t="shared" si="100"/>
        <v>0</v>
      </c>
      <c r="E34" s="27">
        <f t="shared" si="114"/>
        <v>0</v>
      </c>
      <c r="F34" s="21">
        <f>F33</f>
        <v>1</v>
      </c>
      <c r="G34" s="21">
        <f>COUNTIFS('Data-TSD+1'!$AC:$AC,F$1,'Data-TSD+1'!$N:$N,"Satisfactory (80%)")</f>
        <v>0</v>
      </c>
      <c r="H34" s="27">
        <f t="shared" si="115"/>
        <v>0</v>
      </c>
      <c r="I34" s="21">
        <f>I33</f>
        <v>0</v>
      </c>
      <c r="J34" s="21">
        <f>COUNTIFS('Data-TSD+1'!$AC:$AC,I$1,'Data-TSD+1'!$N:$N,"Satisfactory (80%)")</f>
        <v>0</v>
      </c>
      <c r="K34" s="27" t="str">
        <f t="shared" si="116"/>
        <v/>
      </c>
      <c r="L34" s="21">
        <f>L33</f>
        <v>0</v>
      </c>
      <c r="M34" s="21">
        <f>COUNTIFS('Data-TSD+1'!$AC:$AC,L$1,'Data-TSD+1'!$N:$N,"Satisfactory (80%)")</f>
        <v>0</v>
      </c>
      <c r="N34" s="27" t="str">
        <f t="shared" si="117"/>
        <v/>
      </c>
      <c r="O34" s="21">
        <f>O33</f>
        <v>0</v>
      </c>
      <c r="P34" s="21">
        <f>COUNTIFS('Data-TSD+1'!$AC:$AC,O$1,'Data-TSD+1'!$N:$N,"Satisfactory (80%)")</f>
        <v>0</v>
      </c>
      <c r="Q34" s="27" t="str">
        <f t="shared" si="118"/>
        <v/>
      </c>
      <c r="R34" s="21">
        <f>R33</f>
        <v>0</v>
      </c>
      <c r="S34" s="21">
        <f>COUNTIFS('Data-TSD+1'!$AC:$AC,R$1,'Data-TSD+1'!$N:$N,"Satisfactory (80%)")</f>
        <v>0</v>
      </c>
      <c r="T34" s="27" t="str">
        <f t="shared" si="119"/>
        <v/>
      </c>
      <c r="U34" s="21">
        <f>U33</f>
        <v>0</v>
      </c>
      <c r="V34" s="21">
        <f>COUNTIFS('Data-TSD+1'!$AC:$AC,U$1,'Data-TSD+1'!$N:$N,"Satisfactory (80%)")</f>
        <v>0</v>
      </c>
      <c r="W34" s="27" t="str">
        <f t="shared" si="120"/>
        <v/>
      </c>
      <c r="X34" s="21">
        <f>X33</f>
        <v>0</v>
      </c>
      <c r="Y34" s="21">
        <f>COUNTIFS('Data-TSD+1'!$AC:$AC,X$1,'Data-TSD+1'!$N:$N,"Satisfactory (80%)")</f>
        <v>0</v>
      </c>
      <c r="Z34" s="27" t="str">
        <f t="shared" si="121"/>
        <v/>
      </c>
      <c r="AA34" s="21">
        <f>AA33</f>
        <v>0</v>
      </c>
      <c r="AB34" s="21">
        <f>COUNTIFS('Data-TSD+1'!$AC:$AC,AA$1,'Data-TSD+1'!$N:$N,"Satisfactory (80%)")</f>
        <v>0</v>
      </c>
      <c r="AC34" s="27" t="str">
        <f t="shared" si="122"/>
        <v/>
      </c>
      <c r="AD34" s="21">
        <f>AD33</f>
        <v>0</v>
      </c>
      <c r="AE34" s="21">
        <f>COUNTIFS('Data-TSD+1'!$AC:$AC,AD$1,'Data-TSD+1'!$N:$N,"Satisfactory (80%)")</f>
        <v>0</v>
      </c>
      <c r="AF34" s="27" t="str">
        <f t="shared" si="123"/>
        <v/>
      </c>
      <c r="AG34" s="21">
        <f>AG33</f>
        <v>0</v>
      </c>
      <c r="AH34" s="21">
        <f>COUNTIFS('Data-TSD+1'!$AC:$AC,AG$1,'Data-TSD+1'!$N:$N,"Satisfactory (80%)")</f>
        <v>0</v>
      </c>
      <c r="AI34" s="27" t="str">
        <f t="shared" si="124"/>
        <v/>
      </c>
      <c r="AJ34" s="21">
        <f>AJ33</f>
        <v>0</v>
      </c>
      <c r="AK34" s="21">
        <f>COUNTIFS('Data-TSD+1'!$AC:$AC,AJ$1,'Data-TSD+1'!$N:$N,"Satisfactory (80%)")</f>
        <v>0</v>
      </c>
      <c r="AL34" s="27" t="str">
        <f t="shared" si="125"/>
        <v/>
      </c>
      <c r="AM34" s="21">
        <f>AM33</f>
        <v>0</v>
      </c>
      <c r="AN34" s="21">
        <f>COUNTIFS('Data-TSD+1'!$AC:$AC,AM$1,'Data-TSD+1'!$N:$N,"Satisfactory (80%)")</f>
        <v>0</v>
      </c>
      <c r="AO34" s="27" t="str">
        <f t="shared" si="126"/>
        <v/>
      </c>
    </row>
    <row r="35" spans="1:41" x14ac:dyDescent="0.3">
      <c r="A35" s="25"/>
      <c r="B35" s="33" t="s">
        <v>121</v>
      </c>
      <c r="C35" s="21">
        <f t="shared" ref="C35:C37" si="127">C34</f>
        <v>1</v>
      </c>
      <c r="D35" s="21">
        <f t="shared" si="100"/>
        <v>0</v>
      </c>
      <c r="E35" s="27">
        <f t="shared" si="114"/>
        <v>0</v>
      </c>
      <c r="F35" s="21">
        <f>F34</f>
        <v>1</v>
      </c>
      <c r="G35" s="21">
        <f>COUNTIFS('Data-TSD+1'!$AC:$AC,F$1,'Data-TSD+1'!$N:$N,"Average (60%)")</f>
        <v>0</v>
      </c>
      <c r="H35" s="27">
        <f t="shared" si="115"/>
        <v>0</v>
      </c>
      <c r="I35" s="21">
        <f>I34</f>
        <v>0</v>
      </c>
      <c r="J35" s="21">
        <f>COUNTIFS('Data-TSD+1'!$AC:$AC,I$1,'Data-TSD+1'!$N:$N,"Average (60%)")</f>
        <v>0</v>
      </c>
      <c r="K35" s="27" t="str">
        <f t="shared" si="116"/>
        <v/>
      </c>
      <c r="L35" s="21">
        <f>L34</f>
        <v>0</v>
      </c>
      <c r="M35" s="21">
        <f>COUNTIFS('Data-TSD+1'!$AC:$AC,L$1,'Data-TSD+1'!$N:$N,"Average (60%)")</f>
        <v>0</v>
      </c>
      <c r="N35" s="27" t="str">
        <f t="shared" si="117"/>
        <v/>
      </c>
      <c r="O35" s="21">
        <f>O34</f>
        <v>0</v>
      </c>
      <c r="P35" s="21">
        <f>COUNTIFS('Data-TSD+1'!$AC:$AC,O$1,'Data-TSD+1'!$N:$N,"Average (60%)")</f>
        <v>0</v>
      </c>
      <c r="Q35" s="27" t="str">
        <f t="shared" si="118"/>
        <v/>
      </c>
      <c r="R35" s="21">
        <f>R34</f>
        <v>0</v>
      </c>
      <c r="S35" s="21">
        <f>COUNTIFS('Data-TSD+1'!$AC:$AC,R$1,'Data-TSD+1'!$N:$N,"Average (60%)")</f>
        <v>0</v>
      </c>
      <c r="T35" s="27" t="str">
        <f t="shared" si="119"/>
        <v/>
      </c>
      <c r="U35" s="21">
        <f>U34</f>
        <v>0</v>
      </c>
      <c r="V35" s="21">
        <f>COUNTIFS('Data-TSD+1'!$AC:$AC,U$1,'Data-TSD+1'!$N:$N,"Average (60%)")</f>
        <v>0</v>
      </c>
      <c r="W35" s="27" t="str">
        <f t="shared" si="120"/>
        <v/>
      </c>
      <c r="X35" s="21">
        <f>X34</f>
        <v>0</v>
      </c>
      <c r="Y35" s="21">
        <f>COUNTIFS('Data-TSD+1'!$AC:$AC,X$1,'Data-TSD+1'!$N:$N,"Average (60%)")</f>
        <v>0</v>
      </c>
      <c r="Z35" s="27" t="str">
        <f t="shared" si="121"/>
        <v/>
      </c>
      <c r="AA35" s="21">
        <f>AA34</f>
        <v>0</v>
      </c>
      <c r="AB35" s="21">
        <f>COUNTIFS('Data-TSD+1'!$AC:$AC,AA$1,'Data-TSD+1'!$N:$N,"Average (60%)")</f>
        <v>0</v>
      </c>
      <c r="AC35" s="27" t="str">
        <f t="shared" si="122"/>
        <v/>
      </c>
      <c r="AD35" s="21">
        <f>AD34</f>
        <v>0</v>
      </c>
      <c r="AE35" s="21">
        <f>COUNTIFS('Data-TSD+1'!$AC:$AC,AD$1,'Data-TSD+1'!$N:$N,"Average (60%)")</f>
        <v>0</v>
      </c>
      <c r="AF35" s="27" t="str">
        <f t="shared" si="123"/>
        <v/>
      </c>
      <c r="AG35" s="21">
        <f>AG34</f>
        <v>0</v>
      </c>
      <c r="AH35" s="21">
        <f>COUNTIFS('Data-TSD+1'!$AC:$AC,AG$1,'Data-TSD+1'!$N:$N,"Average (60%)")</f>
        <v>0</v>
      </c>
      <c r="AI35" s="27" t="str">
        <f t="shared" si="124"/>
        <v/>
      </c>
      <c r="AJ35" s="21">
        <f>AJ34</f>
        <v>0</v>
      </c>
      <c r="AK35" s="21">
        <f>COUNTIFS('Data-TSD+1'!$AC:$AC,AJ$1,'Data-TSD+1'!$N:$N,"Average (60%)")</f>
        <v>0</v>
      </c>
      <c r="AL35" s="27" t="str">
        <f t="shared" si="125"/>
        <v/>
      </c>
      <c r="AM35" s="21">
        <f>AM34</f>
        <v>0</v>
      </c>
      <c r="AN35" s="21">
        <f>COUNTIFS('Data-TSD+1'!$AC:$AC,AM$1,'Data-TSD+1'!$N:$N,"Average (60%)")</f>
        <v>0</v>
      </c>
      <c r="AO35" s="27" t="str">
        <f t="shared" si="126"/>
        <v/>
      </c>
    </row>
    <row r="36" spans="1:41" x14ac:dyDescent="0.3">
      <c r="A36" s="25"/>
      <c r="B36" s="33" t="s">
        <v>122</v>
      </c>
      <c r="C36" s="21">
        <f t="shared" si="127"/>
        <v>1</v>
      </c>
      <c r="D36" s="21">
        <f t="shared" si="100"/>
        <v>0</v>
      </c>
      <c r="E36" s="27">
        <f t="shared" si="114"/>
        <v>0</v>
      </c>
      <c r="F36" s="21">
        <f>F35</f>
        <v>1</v>
      </c>
      <c r="G36" s="21">
        <f>COUNTIFS('Data-TSD+1'!$AC:$AC,F$1,'Data-TSD+1'!$N:$N,"Unsatisfactory (40%)")</f>
        <v>0</v>
      </c>
      <c r="H36" s="27">
        <f t="shared" si="115"/>
        <v>0</v>
      </c>
      <c r="I36" s="21">
        <f>I35</f>
        <v>0</v>
      </c>
      <c r="J36" s="21">
        <f>COUNTIFS('Data-TSD+1'!$AC:$AC,I$1,'Data-TSD+1'!$N:$N,"Unsatisfactory (40%)")</f>
        <v>0</v>
      </c>
      <c r="K36" s="27" t="str">
        <f t="shared" si="116"/>
        <v/>
      </c>
      <c r="L36" s="21">
        <f>L35</f>
        <v>0</v>
      </c>
      <c r="M36" s="21">
        <f>COUNTIFS('Data-TSD+1'!$AC:$AC,L$1,'Data-TSD+1'!$N:$N,"Unsatisfactory (40%)")</f>
        <v>0</v>
      </c>
      <c r="N36" s="27" t="str">
        <f t="shared" si="117"/>
        <v/>
      </c>
      <c r="O36" s="21">
        <f>O35</f>
        <v>0</v>
      </c>
      <c r="P36" s="21">
        <f>COUNTIFS('Data-TSD+1'!$AC:$AC,O$1,'Data-TSD+1'!$N:$N,"Unsatisfactory (40%)")</f>
        <v>0</v>
      </c>
      <c r="Q36" s="27" t="str">
        <f t="shared" si="118"/>
        <v/>
      </c>
      <c r="R36" s="21">
        <f>R35</f>
        <v>0</v>
      </c>
      <c r="S36" s="21">
        <f>COUNTIFS('Data-TSD+1'!$AC:$AC,R$1,'Data-TSD+1'!$N:$N,"Unsatisfactory (40%)")</f>
        <v>0</v>
      </c>
      <c r="T36" s="27" t="str">
        <f t="shared" si="119"/>
        <v/>
      </c>
      <c r="U36" s="21">
        <f>U35</f>
        <v>0</v>
      </c>
      <c r="V36" s="21">
        <f>COUNTIFS('Data-TSD+1'!$AC:$AC,U$1,'Data-TSD+1'!$N:$N,"Unsatisfactory (40%)")</f>
        <v>0</v>
      </c>
      <c r="W36" s="27" t="str">
        <f t="shared" si="120"/>
        <v/>
      </c>
      <c r="X36" s="21">
        <f>X35</f>
        <v>0</v>
      </c>
      <c r="Y36" s="21">
        <f>COUNTIFS('Data-TSD+1'!$AC:$AC,X$1,'Data-TSD+1'!$N:$N,"Unsatisfactory (40%)")</f>
        <v>0</v>
      </c>
      <c r="Z36" s="27" t="str">
        <f t="shared" si="121"/>
        <v/>
      </c>
      <c r="AA36" s="21">
        <f>AA35</f>
        <v>0</v>
      </c>
      <c r="AB36" s="21">
        <f>COUNTIFS('Data-TSD+1'!$AC:$AC,AA$1,'Data-TSD+1'!$N:$N,"Unsatisfactory (40%)")</f>
        <v>0</v>
      </c>
      <c r="AC36" s="27" t="str">
        <f t="shared" si="122"/>
        <v/>
      </c>
      <c r="AD36" s="21">
        <f>AD35</f>
        <v>0</v>
      </c>
      <c r="AE36" s="21">
        <f>COUNTIFS('Data-TSD+1'!$AC:$AC,AD$1,'Data-TSD+1'!$N:$N,"Unsatisfactory (40%)")</f>
        <v>0</v>
      </c>
      <c r="AF36" s="27" t="str">
        <f t="shared" si="123"/>
        <v/>
      </c>
      <c r="AG36" s="21">
        <f>AG35</f>
        <v>0</v>
      </c>
      <c r="AH36" s="21">
        <f>COUNTIFS('Data-TSD+1'!$AC:$AC,AG$1,'Data-TSD+1'!$N:$N,"Unsatisfactory (40%)")</f>
        <v>0</v>
      </c>
      <c r="AI36" s="27" t="str">
        <f t="shared" si="124"/>
        <v/>
      </c>
      <c r="AJ36" s="21">
        <f>AJ35</f>
        <v>0</v>
      </c>
      <c r="AK36" s="21">
        <f>COUNTIFS('Data-TSD+1'!$AC:$AC,AJ$1,'Data-TSD+1'!$N:$N,"Unsatisfactory (40%)")</f>
        <v>0</v>
      </c>
      <c r="AL36" s="27" t="str">
        <f t="shared" si="125"/>
        <v/>
      </c>
      <c r="AM36" s="21">
        <f>AM35</f>
        <v>0</v>
      </c>
      <c r="AN36" s="21">
        <f>COUNTIFS('Data-TSD+1'!$AC:$AC,AM$1,'Data-TSD+1'!$N:$N,"Unsatisfactory (40%)")</f>
        <v>0</v>
      </c>
      <c r="AO36" s="27" t="str">
        <f t="shared" si="126"/>
        <v/>
      </c>
    </row>
    <row r="37" spans="1:41" x14ac:dyDescent="0.3">
      <c r="A37" s="25"/>
      <c r="B37" s="33" t="s">
        <v>123</v>
      </c>
      <c r="C37" s="21">
        <f t="shared" si="127"/>
        <v>1</v>
      </c>
      <c r="D37" s="21">
        <f t="shared" si="100"/>
        <v>0</v>
      </c>
      <c r="E37" s="27">
        <f t="shared" si="114"/>
        <v>0</v>
      </c>
      <c r="F37" s="21">
        <f>F36</f>
        <v>1</v>
      </c>
      <c r="G37" s="21">
        <f>COUNTIFS('Data-TSD+1'!$AC:$AC,F$1,'Data-TSD+1'!$N:$N,"Very unsatisfactory (20%)")</f>
        <v>0</v>
      </c>
      <c r="H37" s="27">
        <f t="shared" si="115"/>
        <v>0</v>
      </c>
      <c r="I37" s="21">
        <f>I36</f>
        <v>0</v>
      </c>
      <c r="J37" s="21">
        <f>COUNTIFS('Data-TSD+1'!$AC:$AC,I$1,'Data-TSD+1'!$N:$N,"Very unsatisfactory (20%)")</f>
        <v>0</v>
      </c>
      <c r="K37" s="27" t="str">
        <f t="shared" si="116"/>
        <v/>
      </c>
      <c r="L37" s="21">
        <f>L36</f>
        <v>0</v>
      </c>
      <c r="M37" s="21">
        <f>COUNTIFS('Data-TSD+1'!$AC:$AC,L$1,'Data-TSD+1'!$N:$N,"Very unsatisfactory (20%)")</f>
        <v>0</v>
      </c>
      <c r="N37" s="27" t="str">
        <f t="shared" si="117"/>
        <v/>
      </c>
      <c r="O37" s="21">
        <f>O36</f>
        <v>0</v>
      </c>
      <c r="P37" s="21">
        <f>COUNTIFS('Data-TSD+1'!$AC:$AC,O$1,'Data-TSD+1'!$N:$N,"Very unsatisfactory (20%)")</f>
        <v>0</v>
      </c>
      <c r="Q37" s="27" t="str">
        <f t="shared" si="118"/>
        <v/>
      </c>
      <c r="R37" s="21">
        <f>R36</f>
        <v>0</v>
      </c>
      <c r="S37" s="21">
        <f>COUNTIFS('Data-TSD+1'!$AC:$AC,R$1,'Data-TSD+1'!$N:$N,"Very unsatisfactory (20%)")</f>
        <v>0</v>
      </c>
      <c r="T37" s="27" t="str">
        <f t="shared" si="119"/>
        <v/>
      </c>
      <c r="U37" s="21">
        <f>U36</f>
        <v>0</v>
      </c>
      <c r="V37" s="21">
        <f>COUNTIFS('Data-TSD+1'!$AC:$AC,U$1,'Data-TSD+1'!$N:$N,"Very unsatisfactory (20%)")</f>
        <v>0</v>
      </c>
      <c r="W37" s="27" t="str">
        <f t="shared" si="120"/>
        <v/>
      </c>
      <c r="X37" s="21">
        <f>X36</f>
        <v>0</v>
      </c>
      <c r="Y37" s="21">
        <f>COUNTIFS('Data-TSD+1'!$AC:$AC,X$1,'Data-TSD+1'!$N:$N,"Very unsatisfactory (20%)")</f>
        <v>0</v>
      </c>
      <c r="Z37" s="27" t="str">
        <f t="shared" si="121"/>
        <v/>
      </c>
      <c r="AA37" s="21">
        <f>AA36</f>
        <v>0</v>
      </c>
      <c r="AB37" s="21">
        <f>COUNTIFS('Data-TSD+1'!$AC:$AC,AA$1,'Data-TSD+1'!$N:$N,"Very unsatisfactory (20%)")</f>
        <v>0</v>
      </c>
      <c r="AC37" s="27" t="str">
        <f t="shared" si="122"/>
        <v/>
      </c>
      <c r="AD37" s="21">
        <f>AD36</f>
        <v>0</v>
      </c>
      <c r="AE37" s="21">
        <f>COUNTIFS('Data-TSD+1'!$AC:$AC,AD$1,'Data-TSD+1'!$N:$N,"Very unsatisfactory (20%)")</f>
        <v>0</v>
      </c>
      <c r="AF37" s="27" t="str">
        <f t="shared" si="123"/>
        <v/>
      </c>
      <c r="AG37" s="21">
        <f>AG36</f>
        <v>0</v>
      </c>
      <c r="AH37" s="21">
        <f>COUNTIFS('Data-TSD+1'!$AC:$AC,AG$1,'Data-TSD+1'!$N:$N,"Very unsatisfactory (20%)")</f>
        <v>0</v>
      </c>
      <c r="AI37" s="27" t="str">
        <f t="shared" si="124"/>
        <v/>
      </c>
      <c r="AJ37" s="21">
        <f>AJ36</f>
        <v>0</v>
      </c>
      <c r="AK37" s="21">
        <f>COUNTIFS('Data-TSD+1'!$AC:$AC,AJ$1,'Data-TSD+1'!$N:$N,"Very unsatisfactory (20%)")</f>
        <v>0</v>
      </c>
      <c r="AL37" s="27" t="str">
        <f t="shared" si="125"/>
        <v/>
      </c>
      <c r="AM37" s="21">
        <f>AM36</f>
        <v>0</v>
      </c>
      <c r="AN37" s="21">
        <f>COUNTIFS('Data-TSD+1'!$AC:$AC,AM$1,'Data-TSD+1'!$N:$N,"Very unsatisfactory (20%)")</f>
        <v>0</v>
      </c>
      <c r="AO37" s="27" t="str">
        <f t="shared" si="126"/>
        <v/>
      </c>
    </row>
    <row r="38" spans="1:41" x14ac:dyDescent="0.3">
      <c r="A38" s="21">
        <v>7</v>
      </c>
      <c r="B38" s="29" t="s">
        <v>75</v>
      </c>
      <c r="C38" s="21"/>
      <c r="D38" s="21"/>
      <c r="E38" s="27"/>
      <c r="F38" s="21"/>
      <c r="G38" s="21"/>
      <c r="H38" s="27"/>
      <c r="I38" s="21"/>
      <c r="J38" s="21"/>
      <c r="K38" s="27"/>
      <c r="L38" s="21"/>
      <c r="M38" s="21"/>
      <c r="N38" s="27"/>
      <c r="O38" s="21"/>
      <c r="P38" s="21"/>
      <c r="Q38" s="27"/>
      <c r="R38" s="21"/>
      <c r="S38" s="21"/>
      <c r="T38" s="27"/>
      <c r="U38" s="21"/>
      <c r="V38" s="21"/>
      <c r="W38" s="27"/>
      <c r="X38" s="21"/>
      <c r="Y38" s="21"/>
      <c r="Z38" s="27"/>
      <c r="AA38" s="21"/>
      <c r="AB38" s="21"/>
      <c r="AC38" s="27"/>
      <c r="AD38" s="21"/>
      <c r="AE38" s="21"/>
      <c r="AF38" s="27"/>
      <c r="AG38" s="21"/>
      <c r="AH38" s="21"/>
      <c r="AI38" s="27"/>
      <c r="AJ38" s="21"/>
      <c r="AK38" s="21"/>
      <c r="AL38" s="27"/>
      <c r="AM38" s="21"/>
      <c r="AN38" s="21"/>
      <c r="AO38" s="27"/>
    </row>
    <row r="39" spans="1:41" x14ac:dyDescent="0.3">
      <c r="A39" s="25"/>
      <c r="B39" s="33" t="s">
        <v>119</v>
      </c>
      <c r="C39" s="21">
        <f>COUNTIF('Data-TSD+1'!$O:$O,"&lt;&gt;" &amp; "")-1</f>
        <v>1</v>
      </c>
      <c r="D39" s="21">
        <f t="shared" si="100"/>
        <v>1</v>
      </c>
      <c r="E39" s="27">
        <f t="shared" ref="E39:E43" si="128">IF(C39 &lt;&gt; 0,D39/C39,"")</f>
        <v>1</v>
      </c>
      <c r="F39" s="21">
        <f>COUNTIFS('Data-TSD+1'!$AC:$AC,F$1,'Data-TSD+1'!$O:$O,"&lt;&gt;" &amp; "")</f>
        <v>1</v>
      </c>
      <c r="G39" s="21">
        <f>COUNTIFS('Data-TSD+1'!$AC:$AC,F$1,'Data-TSD+1'!$O:$O,"Very satisfactory (100%)")</f>
        <v>1</v>
      </c>
      <c r="H39" s="27">
        <f t="shared" ref="H39:H43" si="129">IF(F39 &lt;&gt; 0,G39/F39,"")</f>
        <v>1</v>
      </c>
      <c r="I39" s="21">
        <f>COUNTIFS('Data-TSD+1'!$AC:$AC,I$1,'Data-TSD+1'!$O:$O,"&lt;&gt;" &amp; "")</f>
        <v>0</v>
      </c>
      <c r="J39" s="21">
        <f>COUNTIFS('Data-TSD+1'!$AC:$AC,I$1,'Data-TSD+1'!$O:$O,"Very satisfactory (100%)")</f>
        <v>0</v>
      </c>
      <c r="K39" s="27" t="str">
        <f t="shared" ref="K39:K43" si="130">IF(I39 &lt;&gt; 0,J39/I39,"")</f>
        <v/>
      </c>
      <c r="L39" s="21">
        <f>COUNTIFS('Data-TSD+1'!$AC:$AC,L$1,'Data-TSD+1'!$O:$O,"&lt;&gt;" &amp; "")</f>
        <v>0</v>
      </c>
      <c r="M39" s="21">
        <f>COUNTIFS('Data-TSD+1'!$AC:$AC,L$1,'Data-TSD+1'!$O:$O,"Very satisfactory (100%)")</f>
        <v>0</v>
      </c>
      <c r="N39" s="27" t="str">
        <f t="shared" ref="N39:N43" si="131">IF(L39 &lt;&gt; 0,M39/L39,"")</f>
        <v/>
      </c>
      <c r="O39" s="21">
        <f>COUNTIFS('Data-TSD+1'!$AC:$AC,O$1,'Data-TSD+1'!$O:$O,"&lt;&gt;" &amp; "")</f>
        <v>0</v>
      </c>
      <c r="P39" s="21">
        <f>COUNTIFS('Data-TSD+1'!$AC:$AC,O$1,'Data-TSD+1'!$O:$O,"Very satisfactory (100%)")</f>
        <v>0</v>
      </c>
      <c r="Q39" s="27" t="str">
        <f t="shared" ref="Q39:Q43" si="132">IF(O39 &lt;&gt; 0,P39/O39,"")</f>
        <v/>
      </c>
      <c r="R39" s="21">
        <f>COUNTIFS('Data-TSD+1'!$AC:$AC,R$1,'Data-TSD+1'!$O:$O,"&lt;&gt;" &amp; "")</f>
        <v>0</v>
      </c>
      <c r="S39" s="21">
        <f>COUNTIFS('Data-TSD+1'!$AC:$AC,R$1,'Data-TSD+1'!$O:$O,"Very satisfactory (100%)")</f>
        <v>0</v>
      </c>
      <c r="T39" s="27" t="str">
        <f t="shared" ref="T39:T43" si="133">IF(R39 &lt;&gt; 0,S39/R39,"")</f>
        <v/>
      </c>
      <c r="U39" s="21">
        <f>COUNTIFS('Data-TSD+1'!$AC:$AC,U$1,'Data-TSD+1'!$O:$O,"&lt;&gt;" &amp; "")</f>
        <v>0</v>
      </c>
      <c r="V39" s="21">
        <f>COUNTIFS('Data-TSD+1'!$AC:$AC,U$1,'Data-TSD+1'!$O:$O,"Very satisfactory (100%)")</f>
        <v>0</v>
      </c>
      <c r="W39" s="27" t="str">
        <f t="shared" ref="W39:W43" si="134">IF(U39 &lt;&gt; 0,V39/U39,"")</f>
        <v/>
      </c>
      <c r="X39" s="21">
        <f>COUNTIFS('Data-TSD+1'!$AC:$AC,X$1,'Data-TSD+1'!$O:$O,"&lt;&gt;" &amp; "")</f>
        <v>0</v>
      </c>
      <c r="Y39" s="21">
        <f>COUNTIFS('Data-TSD+1'!$AC:$AC,X$1,'Data-TSD+1'!$O:$O,"Very satisfactory (100%)")</f>
        <v>0</v>
      </c>
      <c r="Z39" s="27" t="str">
        <f t="shared" ref="Z39:Z43" si="135">IF(X39 &lt;&gt; 0,Y39/X39,"")</f>
        <v/>
      </c>
      <c r="AA39" s="21">
        <f>COUNTIFS('Data-TSD+1'!$AC:$AC,AA$1,'Data-TSD+1'!$O:$O,"&lt;&gt;" &amp; "")</f>
        <v>0</v>
      </c>
      <c r="AB39" s="21">
        <f>COUNTIFS('Data-TSD+1'!$AC:$AC,AA$1,'Data-TSD+1'!$O:$O,"Very satisfactory (100%)")</f>
        <v>0</v>
      </c>
      <c r="AC39" s="27" t="str">
        <f t="shared" ref="AC39:AC43" si="136">IF(AA39 &lt;&gt; 0,AB39/AA39,"")</f>
        <v/>
      </c>
      <c r="AD39" s="21">
        <f>COUNTIFS('Data-TSD+1'!$AC:$AC,AD$1,'Data-TSD+1'!$O:$O,"&lt;&gt;" &amp; "")</f>
        <v>0</v>
      </c>
      <c r="AE39" s="21">
        <f>COUNTIFS('Data-TSD+1'!$AC:$AC,AD$1,'Data-TSD+1'!$O:$O,"Very satisfactory (100%)")</f>
        <v>0</v>
      </c>
      <c r="AF39" s="27" t="str">
        <f t="shared" ref="AF39:AF43" si="137">IF(AD39 &lt;&gt; 0,AE39/AD39,"")</f>
        <v/>
      </c>
      <c r="AG39" s="21">
        <f>COUNTIFS('Data-TSD+1'!$AC:$AC,AG$1,'Data-TSD+1'!$O:$O,"&lt;&gt;" &amp; "")</f>
        <v>0</v>
      </c>
      <c r="AH39" s="21">
        <f>COUNTIFS('Data-TSD+1'!$AC:$AC,AG$1,'Data-TSD+1'!$O:$O,"Very satisfactory (100%)")</f>
        <v>0</v>
      </c>
      <c r="AI39" s="27" t="str">
        <f t="shared" ref="AI39:AI43" si="138">IF(AG39 &lt;&gt; 0,AH39/AG39,"")</f>
        <v/>
      </c>
      <c r="AJ39" s="21">
        <f>COUNTIFS('Data-TSD+1'!$AC:$AC,AJ$1,'Data-TSD+1'!$O:$O,"&lt;&gt;" &amp; "")</f>
        <v>0</v>
      </c>
      <c r="AK39" s="21">
        <f>COUNTIFS('Data-TSD+1'!$AC:$AC,AJ$1,'Data-TSD+1'!$O:$O,"Very satisfactory (100%)")</f>
        <v>0</v>
      </c>
      <c r="AL39" s="27" t="str">
        <f t="shared" ref="AL39:AL43" si="139">IF(AJ39 &lt;&gt; 0,AK39/AJ39,"")</f>
        <v/>
      </c>
      <c r="AM39" s="21">
        <f>COUNTIFS('Data-TSD+1'!$AC:$AC,AM$1,'Data-TSD+1'!$O:$O,"&lt;&gt;" &amp; "")</f>
        <v>0</v>
      </c>
      <c r="AN39" s="21">
        <f>COUNTIFS('Data-TSD+1'!$AC:$AC,AM$1,'Data-TSD+1'!$O:$O,"Very satisfactory (100%)")</f>
        <v>0</v>
      </c>
      <c r="AO39" s="27" t="str">
        <f t="shared" ref="AO39:AO43" si="140">IF(AM39 &lt;&gt; 0,AN39/AM39,"")</f>
        <v/>
      </c>
    </row>
    <row r="40" spans="1:41" x14ac:dyDescent="0.3">
      <c r="A40" s="25"/>
      <c r="B40" s="33" t="s">
        <v>120</v>
      </c>
      <c r="C40" s="21">
        <f>C39</f>
        <v>1</v>
      </c>
      <c r="D40" s="21">
        <f t="shared" si="100"/>
        <v>0</v>
      </c>
      <c r="E40" s="27">
        <f t="shared" si="128"/>
        <v>0</v>
      </c>
      <c r="F40" s="21">
        <f>F39</f>
        <v>1</v>
      </c>
      <c r="G40" s="21">
        <f>COUNTIFS('Data-TSD+1'!$AC:$AC,F$1,'Data-TSD+1'!$O:$O,"Satisfactory (80%)")</f>
        <v>0</v>
      </c>
      <c r="H40" s="27">
        <f t="shared" si="129"/>
        <v>0</v>
      </c>
      <c r="I40" s="21">
        <f>I39</f>
        <v>0</v>
      </c>
      <c r="J40" s="21">
        <f>COUNTIFS('Data-TSD+1'!$AC:$AC,I$1,'Data-TSD+1'!$O:$O,"Satisfactory (80%)")</f>
        <v>0</v>
      </c>
      <c r="K40" s="27" t="str">
        <f t="shared" si="130"/>
        <v/>
      </c>
      <c r="L40" s="21">
        <f>L39</f>
        <v>0</v>
      </c>
      <c r="M40" s="21">
        <f>COUNTIFS('Data-TSD+1'!$AC:$AC,L$1,'Data-TSD+1'!$O:$O,"Satisfactory (80%)")</f>
        <v>0</v>
      </c>
      <c r="N40" s="27" t="str">
        <f t="shared" si="131"/>
        <v/>
      </c>
      <c r="O40" s="21">
        <f>O39</f>
        <v>0</v>
      </c>
      <c r="P40" s="21">
        <f>COUNTIFS('Data-TSD+1'!$AC:$AC,O$1,'Data-TSD+1'!$O:$O,"Satisfactory (80%)")</f>
        <v>0</v>
      </c>
      <c r="Q40" s="27" t="str">
        <f t="shared" si="132"/>
        <v/>
      </c>
      <c r="R40" s="21">
        <f>R39</f>
        <v>0</v>
      </c>
      <c r="S40" s="21">
        <f>COUNTIFS('Data-TSD+1'!$AC:$AC,R$1,'Data-TSD+1'!$O:$O,"Satisfactory (80%)")</f>
        <v>0</v>
      </c>
      <c r="T40" s="27" t="str">
        <f t="shared" si="133"/>
        <v/>
      </c>
      <c r="U40" s="21">
        <f>U39</f>
        <v>0</v>
      </c>
      <c r="V40" s="21">
        <f>COUNTIFS('Data-TSD+1'!$AC:$AC,U$1,'Data-TSD+1'!$O:$O,"Satisfactory (80%)")</f>
        <v>0</v>
      </c>
      <c r="W40" s="27" t="str">
        <f t="shared" si="134"/>
        <v/>
      </c>
      <c r="X40" s="21">
        <f>X39</f>
        <v>0</v>
      </c>
      <c r="Y40" s="21">
        <f>COUNTIFS('Data-TSD+1'!$AC:$AC,X$1,'Data-TSD+1'!$O:$O,"Satisfactory (80%)")</f>
        <v>0</v>
      </c>
      <c r="Z40" s="27" t="str">
        <f t="shared" si="135"/>
        <v/>
      </c>
      <c r="AA40" s="21">
        <f>AA39</f>
        <v>0</v>
      </c>
      <c r="AB40" s="21">
        <f>COUNTIFS('Data-TSD+1'!$AC:$AC,AA$1,'Data-TSD+1'!$O:$O,"Satisfactory (80%)")</f>
        <v>0</v>
      </c>
      <c r="AC40" s="27" t="str">
        <f t="shared" si="136"/>
        <v/>
      </c>
      <c r="AD40" s="21">
        <f>AD39</f>
        <v>0</v>
      </c>
      <c r="AE40" s="21">
        <f>COUNTIFS('Data-TSD+1'!$AC:$AC,AD$1,'Data-TSD+1'!$O:$O,"Satisfactory (80%)")</f>
        <v>0</v>
      </c>
      <c r="AF40" s="27" t="str">
        <f t="shared" si="137"/>
        <v/>
      </c>
      <c r="AG40" s="21">
        <f>AG39</f>
        <v>0</v>
      </c>
      <c r="AH40" s="21">
        <f>COUNTIFS('Data-TSD+1'!$AC:$AC,AG$1,'Data-TSD+1'!$O:$O,"Satisfactory (80%)")</f>
        <v>0</v>
      </c>
      <c r="AI40" s="27" t="str">
        <f t="shared" si="138"/>
        <v/>
      </c>
      <c r="AJ40" s="21">
        <f>AJ39</f>
        <v>0</v>
      </c>
      <c r="AK40" s="21">
        <f>COUNTIFS('Data-TSD+1'!$AC:$AC,AJ$1,'Data-TSD+1'!$O:$O,"Satisfactory (80%)")</f>
        <v>0</v>
      </c>
      <c r="AL40" s="27" t="str">
        <f t="shared" si="139"/>
        <v/>
      </c>
      <c r="AM40" s="21">
        <f>AM39</f>
        <v>0</v>
      </c>
      <c r="AN40" s="21">
        <f>COUNTIFS('Data-TSD+1'!$AC:$AC,AM$1,'Data-TSD+1'!$O:$O,"Satisfactory (80%)")</f>
        <v>0</v>
      </c>
      <c r="AO40" s="27" t="str">
        <f t="shared" si="140"/>
        <v/>
      </c>
    </row>
    <row r="41" spans="1:41" x14ac:dyDescent="0.3">
      <c r="A41" s="25"/>
      <c r="B41" s="33" t="s">
        <v>121</v>
      </c>
      <c r="C41" s="21">
        <f t="shared" ref="C41:C43" si="141">C40</f>
        <v>1</v>
      </c>
      <c r="D41" s="21">
        <f t="shared" si="100"/>
        <v>0</v>
      </c>
      <c r="E41" s="27">
        <f t="shared" si="128"/>
        <v>0</v>
      </c>
      <c r="F41" s="21">
        <f>F40</f>
        <v>1</v>
      </c>
      <c r="G41" s="21">
        <f>COUNTIFS('Data-TSD+1'!$AC:$AC,F$1,'Data-TSD+1'!$O:$O,"Average (60%)")</f>
        <v>0</v>
      </c>
      <c r="H41" s="27">
        <f t="shared" si="129"/>
        <v>0</v>
      </c>
      <c r="I41" s="21">
        <f>I40</f>
        <v>0</v>
      </c>
      <c r="J41" s="21">
        <f>COUNTIFS('Data-TSD+1'!$AC:$AC,I$1,'Data-TSD+1'!$O:$O,"Average (60%)")</f>
        <v>0</v>
      </c>
      <c r="K41" s="27" t="str">
        <f t="shared" si="130"/>
        <v/>
      </c>
      <c r="L41" s="21">
        <f>L40</f>
        <v>0</v>
      </c>
      <c r="M41" s="21">
        <f>COUNTIFS('Data-TSD+1'!$AC:$AC,L$1,'Data-TSD+1'!$O:$O,"Average (60%)")</f>
        <v>0</v>
      </c>
      <c r="N41" s="27" t="str">
        <f t="shared" si="131"/>
        <v/>
      </c>
      <c r="O41" s="21">
        <f>O40</f>
        <v>0</v>
      </c>
      <c r="P41" s="21">
        <f>COUNTIFS('Data-TSD+1'!$AC:$AC,O$1,'Data-TSD+1'!$O:$O,"Average (60%)")</f>
        <v>0</v>
      </c>
      <c r="Q41" s="27" t="str">
        <f t="shared" si="132"/>
        <v/>
      </c>
      <c r="R41" s="21">
        <f>R40</f>
        <v>0</v>
      </c>
      <c r="S41" s="21">
        <f>COUNTIFS('Data-TSD+1'!$AC:$AC,R$1,'Data-TSD+1'!$O:$O,"Average (60%)")</f>
        <v>0</v>
      </c>
      <c r="T41" s="27" t="str">
        <f t="shared" si="133"/>
        <v/>
      </c>
      <c r="U41" s="21">
        <f>U40</f>
        <v>0</v>
      </c>
      <c r="V41" s="21">
        <f>COUNTIFS('Data-TSD+1'!$AC:$AC,U$1,'Data-TSD+1'!$O:$O,"Average (60%)")</f>
        <v>0</v>
      </c>
      <c r="W41" s="27" t="str">
        <f t="shared" si="134"/>
        <v/>
      </c>
      <c r="X41" s="21">
        <f>X40</f>
        <v>0</v>
      </c>
      <c r="Y41" s="21">
        <f>COUNTIFS('Data-TSD+1'!$AC:$AC,X$1,'Data-TSD+1'!$O:$O,"Average (60%)")</f>
        <v>0</v>
      </c>
      <c r="Z41" s="27" t="str">
        <f t="shared" si="135"/>
        <v/>
      </c>
      <c r="AA41" s="21">
        <f>AA40</f>
        <v>0</v>
      </c>
      <c r="AB41" s="21">
        <f>COUNTIFS('Data-TSD+1'!$AC:$AC,AA$1,'Data-TSD+1'!$O:$O,"Average (60%)")</f>
        <v>0</v>
      </c>
      <c r="AC41" s="27" t="str">
        <f t="shared" si="136"/>
        <v/>
      </c>
      <c r="AD41" s="21">
        <f>AD40</f>
        <v>0</v>
      </c>
      <c r="AE41" s="21">
        <f>COUNTIFS('Data-TSD+1'!$AC:$AC,AD$1,'Data-TSD+1'!$O:$O,"Average (60%)")</f>
        <v>0</v>
      </c>
      <c r="AF41" s="27" t="str">
        <f t="shared" si="137"/>
        <v/>
      </c>
      <c r="AG41" s="21">
        <f>AG40</f>
        <v>0</v>
      </c>
      <c r="AH41" s="21">
        <f>COUNTIFS('Data-TSD+1'!$AC:$AC,AG$1,'Data-TSD+1'!$O:$O,"Average (60%)")</f>
        <v>0</v>
      </c>
      <c r="AI41" s="27" t="str">
        <f t="shared" si="138"/>
        <v/>
      </c>
      <c r="AJ41" s="21">
        <f>AJ40</f>
        <v>0</v>
      </c>
      <c r="AK41" s="21">
        <f>COUNTIFS('Data-TSD+1'!$AC:$AC,AJ$1,'Data-TSD+1'!$O:$O,"Average (60%)")</f>
        <v>0</v>
      </c>
      <c r="AL41" s="27" t="str">
        <f t="shared" si="139"/>
        <v/>
      </c>
      <c r="AM41" s="21">
        <f>AM40</f>
        <v>0</v>
      </c>
      <c r="AN41" s="21">
        <f>COUNTIFS('Data-TSD+1'!$AC:$AC,AM$1,'Data-TSD+1'!$O:$O,"Average (60%)")</f>
        <v>0</v>
      </c>
      <c r="AO41" s="27" t="str">
        <f t="shared" si="140"/>
        <v/>
      </c>
    </row>
    <row r="42" spans="1:41" x14ac:dyDescent="0.3">
      <c r="A42" s="25"/>
      <c r="B42" s="33" t="s">
        <v>122</v>
      </c>
      <c r="C42" s="21">
        <f t="shared" si="141"/>
        <v>1</v>
      </c>
      <c r="D42" s="21">
        <f t="shared" si="100"/>
        <v>0</v>
      </c>
      <c r="E42" s="27">
        <f t="shared" si="128"/>
        <v>0</v>
      </c>
      <c r="F42" s="21">
        <f>F41</f>
        <v>1</v>
      </c>
      <c r="G42" s="21">
        <f>COUNTIFS('Data-TSD+1'!$AC:$AC,F$1,'Data-TSD+1'!$O:$O,"Unsatisfactory (40%)")</f>
        <v>0</v>
      </c>
      <c r="H42" s="27">
        <f t="shared" si="129"/>
        <v>0</v>
      </c>
      <c r="I42" s="21">
        <f>I41</f>
        <v>0</v>
      </c>
      <c r="J42" s="21">
        <f>COUNTIFS('Data-TSD+1'!$AC:$AC,I$1,'Data-TSD+1'!$O:$O,"Unsatisfactory (40%)")</f>
        <v>0</v>
      </c>
      <c r="K42" s="27" t="str">
        <f t="shared" si="130"/>
        <v/>
      </c>
      <c r="L42" s="21">
        <f>L41</f>
        <v>0</v>
      </c>
      <c r="M42" s="21">
        <f>COUNTIFS('Data-TSD+1'!$AC:$AC,L$1,'Data-TSD+1'!$O:$O,"Unsatisfactory (40%)")</f>
        <v>0</v>
      </c>
      <c r="N42" s="27" t="str">
        <f t="shared" si="131"/>
        <v/>
      </c>
      <c r="O42" s="21">
        <f>O41</f>
        <v>0</v>
      </c>
      <c r="P42" s="21">
        <f>COUNTIFS('Data-TSD+1'!$AC:$AC,O$1,'Data-TSD+1'!$O:$O,"Unsatisfactory (40%)")</f>
        <v>0</v>
      </c>
      <c r="Q42" s="27" t="str">
        <f t="shared" si="132"/>
        <v/>
      </c>
      <c r="R42" s="21">
        <f>R41</f>
        <v>0</v>
      </c>
      <c r="S42" s="21">
        <f>COUNTIFS('Data-TSD+1'!$AC:$AC,R$1,'Data-TSD+1'!$O:$O,"Unsatisfactory (40%)")</f>
        <v>0</v>
      </c>
      <c r="T42" s="27" t="str">
        <f t="shared" si="133"/>
        <v/>
      </c>
      <c r="U42" s="21">
        <f>U41</f>
        <v>0</v>
      </c>
      <c r="V42" s="21">
        <f>COUNTIFS('Data-TSD+1'!$AC:$AC,U$1,'Data-TSD+1'!$O:$O,"Unsatisfactory (40%)")</f>
        <v>0</v>
      </c>
      <c r="W42" s="27" t="str">
        <f t="shared" si="134"/>
        <v/>
      </c>
      <c r="X42" s="21">
        <f>X41</f>
        <v>0</v>
      </c>
      <c r="Y42" s="21">
        <f>COUNTIFS('Data-TSD+1'!$AC:$AC,X$1,'Data-TSD+1'!$O:$O,"Unsatisfactory (40%)")</f>
        <v>0</v>
      </c>
      <c r="Z42" s="27" t="str">
        <f t="shared" si="135"/>
        <v/>
      </c>
      <c r="AA42" s="21">
        <f>AA41</f>
        <v>0</v>
      </c>
      <c r="AB42" s="21">
        <f>COUNTIFS('Data-TSD+1'!$AC:$AC,AA$1,'Data-TSD+1'!$O:$O,"Unsatisfactory (40%)")</f>
        <v>0</v>
      </c>
      <c r="AC42" s="27" t="str">
        <f t="shared" si="136"/>
        <v/>
      </c>
      <c r="AD42" s="21">
        <f>AD41</f>
        <v>0</v>
      </c>
      <c r="AE42" s="21">
        <f>COUNTIFS('Data-TSD+1'!$AC:$AC,AD$1,'Data-TSD+1'!$O:$O,"Unsatisfactory (40%)")</f>
        <v>0</v>
      </c>
      <c r="AF42" s="27" t="str">
        <f t="shared" si="137"/>
        <v/>
      </c>
      <c r="AG42" s="21">
        <f>AG41</f>
        <v>0</v>
      </c>
      <c r="AH42" s="21">
        <f>COUNTIFS('Data-TSD+1'!$AC:$AC,AG$1,'Data-TSD+1'!$O:$O,"Unsatisfactory (40%)")</f>
        <v>0</v>
      </c>
      <c r="AI42" s="27" t="str">
        <f t="shared" si="138"/>
        <v/>
      </c>
      <c r="AJ42" s="21">
        <f>AJ41</f>
        <v>0</v>
      </c>
      <c r="AK42" s="21">
        <f>COUNTIFS('Data-TSD+1'!$AC:$AC,AJ$1,'Data-TSD+1'!$O:$O,"Unsatisfactory (40%)")</f>
        <v>0</v>
      </c>
      <c r="AL42" s="27" t="str">
        <f t="shared" si="139"/>
        <v/>
      </c>
      <c r="AM42" s="21">
        <f>AM41</f>
        <v>0</v>
      </c>
      <c r="AN42" s="21">
        <f>COUNTIFS('Data-TSD+1'!$AC:$AC,AM$1,'Data-TSD+1'!$O:$O,"Unsatisfactory (40%)")</f>
        <v>0</v>
      </c>
      <c r="AO42" s="27" t="str">
        <f t="shared" si="140"/>
        <v/>
      </c>
    </row>
    <row r="43" spans="1:41" x14ac:dyDescent="0.3">
      <c r="A43" s="25"/>
      <c r="B43" s="33" t="s">
        <v>123</v>
      </c>
      <c r="C43" s="21">
        <f t="shared" si="141"/>
        <v>1</v>
      </c>
      <c r="D43" s="21">
        <f t="shared" si="100"/>
        <v>0</v>
      </c>
      <c r="E43" s="27">
        <f t="shared" si="128"/>
        <v>0</v>
      </c>
      <c r="F43" s="21">
        <f>F42</f>
        <v>1</v>
      </c>
      <c r="G43" s="21">
        <f>COUNTIFS('Data-TSD+1'!$AC:$AC,F$1,'Data-TSD+1'!$O:$O,"Very unsatisfactory (20%)")</f>
        <v>0</v>
      </c>
      <c r="H43" s="27">
        <f t="shared" si="129"/>
        <v>0</v>
      </c>
      <c r="I43" s="21">
        <f>I42</f>
        <v>0</v>
      </c>
      <c r="J43" s="21">
        <f>COUNTIFS('Data-TSD+1'!$AC:$AC,I$1,'Data-TSD+1'!$O:$O,"Very unsatisfactory (20%)")</f>
        <v>0</v>
      </c>
      <c r="K43" s="27" t="str">
        <f t="shared" si="130"/>
        <v/>
      </c>
      <c r="L43" s="21">
        <f>L42</f>
        <v>0</v>
      </c>
      <c r="M43" s="21">
        <f>COUNTIFS('Data-TSD+1'!$AC:$AC,L$1,'Data-TSD+1'!$O:$O,"Very unsatisfactory (20%)")</f>
        <v>0</v>
      </c>
      <c r="N43" s="27" t="str">
        <f t="shared" si="131"/>
        <v/>
      </c>
      <c r="O43" s="21">
        <f>O42</f>
        <v>0</v>
      </c>
      <c r="P43" s="21">
        <f>COUNTIFS('Data-TSD+1'!$AC:$AC,O$1,'Data-TSD+1'!$O:$O,"Very unsatisfactory (20%)")</f>
        <v>0</v>
      </c>
      <c r="Q43" s="27" t="str">
        <f t="shared" si="132"/>
        <v/>
      </c>
      <c r="R43" s="21">
        <f>R42</f>
        <v>0</v>
      </c>
      <c r="S43" s="21">
        <f>COUNTIFS('Data-TSD+1'!$AC:$AC,R$1,'Data-TSD+1'!$O:$O,"Very unsatisfactory (20%)")</f>
        <v>0</v>
      </c>
      <c r="T43" s="27" t="str">
        <f t="shared" si="133"/>
        <v/>
      </c>
      <c r="U43" s="21">
        <f>U42</f>
        <v>0</v>
      </c>
      <c r="V43" s="21">
        <f>COUNTIFS('Data-TSD+1'!$AC:$AC,U$1,'Data-TSD+1'!$O:$O,"Very unsatisfactory (20%)")</f>
        <v>0</v>
      </c>
      <c r="W43" s="27" t="str">
        <f t="shared" si="134"/>
        <v/>
      </c>
      <c r="X43" s="21">
        <f>X42</f>
        <v>0</v>
      </c>
      <c r="Y43" s="21">
        <f>COUNTIFS('Data-TSD+1'!$AC:$AC,X$1,'Data-TSD+1'!$O:$O,"Very unsatisfactory (20%)")</f>
        <v>0</v>
      </c>
      <c r="Z43" s="27" t="str">
        <f t="shared" si="135"/>
        <v/>
      </c>
      <c r="AA43" s="21">
        <f>AA42</f>
        <v>0</v>
      </c>
      <c r="AB43" s="21">
        <f>COUNTIFS('Data-TSD+1'!$AC:$AC,AA$1,'Data-TSD+1'!$O:$O,"Very unsatisfactory (20%)")</f>
        <v>0</v>
      </c>
      <c r="AC43" s="27" t="str">
        <f t="shared" si="136"/>
        <v/>
      </c>
      <c r="AD43" s="21">
        <f>AD42</f>
        <v>0</v>
      </c>
      <c r="AE43" s="21">
        <f>COUNTIFS('Data-TSD+1'!$AC:$AC,AD$1,'Data-TSD+1'!$O:$O,"Very unsatisfactory (20%)")</f>
        <v>0</v>
      </c>
      <c r="AF43" s="27" t="str">
        <f t="shared" si="137"/>
        <v/>
      </c>
      <c r="AG43" s="21">
        <f>AG42</f>
        <v>0</v>
      </c>
      <c r="AH43" s="21">
        <f>COUNTIFS('Data-TSD+1'!$AC:$AC,AG$1,'Data-TSD+1'!$O:$O,"Very unsatisfactory (20%)")</f>
        <v>0</v>
      </c>
      <c r="AI43" s="27" t="str">
        <f t="shared" si="138"/>
        <v/>
      </c>
      <c r="AJ43" s="21">
        <f>AJ42</f>
        <v>0</v>
      </c>
      <c r="AK43" s="21">
        <f>COUNTIFS('Data-TSD+1'!$AC:$AC,AJ$1,'Data-TSD+1'!$O:$O,"Very unsatisfactory (20%)")</f>
        <v>0</v>
      </c>
      <c r="AL43" s="27" t="str">
        <f t="shared" si="139"/>
        <v/>
      </c>
      <c r="AM43" s="21">
        <f>AM42</f>
        <v>0</v>
      </c>
      <c r="AN43" s="21">
        <f>COUNTIFS('Data-TSD+1'!$AC:$AC,AM$1,'Data-TSD+1'!$O:$O,"Very unsatisfactory (20%)")</f>
        <v>0</v>
      </c>
      <c r="AO43" s="27" t="str">
        <f t="shared" si="140"/>
        <v/>
      </c>
    </row>
    <row r="44" spans="1:41" x14ac:dyDescent="0.3">
      <c r="A44" s="21">
        <v>8</v>
      </c>
      <c r="B44" s="29" t="s">
        <v>76</v>
      </c>
      <c r="C44" s="21"/>
      <c r="D44" s="21"/>
      <c r="E44" s="27"/>
      <c r="F44" s="21"/>
      <c r="G44" s="21"/>
      <c r="H44" s="27"/>
      <c r="I44" s="21"/>
      <c r="J44" s="21"/>
      <c r="K44" s="27"/>
      <c r="L44" s="21"/>
      <c r="M44" s="21"/>
      <c r="N44" s="27"/>
      <c r="O44" s="21"/>
      <c r="P44" s="21"/>
      <c r="Q44" s="27"/>
      <c r="R44" s="21"/>
      <c r="S44" s="21"/>
      <c r="T44" s="27"/>
      <c r="U44" s="21"/>
      <c r="V44" s="21"/>
      <c r="W44" s="27"/>
      <c r="X44" s="21"/>
      <c r="Y44" s="21"/>
      <c r="Z44" s="27"/>
      <c r="AA44" s="21"/>
      <c r="AB44" s="21"/>
      <c r="AC44" s="27"/>
      <c r="AD44" s="21"/>
      <c r="AE44" s="21"/>
      <c r="AF44" s="27"/>
      <c r="AG44" s="21"/>
      <c r="AH44" s="21"/>
      <c r="AI44" s="27"/>
      <c r="AJ44" s="21"/>
      <c r="AK44" s="21"/>
      <c r="AL44" s="27"/>
      <c r="AM44" s="21"/>
      <c r="AN44" s="21"/>
      <c r="AO44" s="27"/>
    </row>
    <row r="45" spans="1:41" x14ac:dyDescent="0.3">
      <c r="A45" s="25"/>
      <c r="B45" s="33" t="s">
        <v>119</v>
      </c>
      <c r="C45" s="21">
        <f>COUNTIF('Data-TSD+1'!$P:$P,"&lt;&gt;" &amp; "")-1</f>
        <v>1</v>
      </c>
      <c r="D45" s="21">
        <f t="shared" si="100"/>
        <v>1</v>
      </c>
      <c r="E45" s="27">
        <f t="shared" ref="E45:E49" si="142">IF(C45 &lt;&gt; 0,D45/C45,"")</f>
        <v>1</v>
      </c>
      <c r="F45" s="21">
        <f>COUNTIFS('Data-TSD+1'!$AC:$AC,F$1,'Data-TSD+1'!$P:$P,"&lt;&gt;" &amp; "")</f>
        <v>1</v>
      </c>
      <c r="G45" s="21">
        <f>COUNTIFS('Data-TSD+1'!$AC:$AC,F$1,'Data-TSD+1'!$P:$P,"Very satisfactory (100%)")</f>
        <v>1</v>
      </c>
      <c r="H45" s="27">
        <f t="shared" ref="H45:H49" si="143">IF(F45 &lt;&gt; 0,G45/F45,"")</f>
        <v>1</v>
      </c>
      <c r="I45" s="21">
        <f>COUNTIFS('Data-TSD+1'!$AC:$AC,I$1,'Data-TSD+1'!$P:$P,"&lt;&gt;" &amp; "")</f>
        <v>0</v>
      </c>
      <c r="J45" s="21">
        <f>COUNTIFS('Data-TSD+1'!$AC:$AC,I$1,'Data-TSD+1'!$P:$P,"Very satisfactory (100%)")</f>
        <v>0</v>
      </c>
      <c r="K45" s="27" t="str">
        <f t="shared" ref="K45:K49" si="144">IF(I45 &lt;&gt; 0,J45/I45,"")</f>
        <v/>
      </c>
      <c r="L45" s="21">
        <f>COUNTIFS('Data-TSD+1'!$AC:$AC,L$1,'Data-TSD+1'!$P:$P,"&lt;&gt;" &amp; "")</f>
        <v>0</v>
      </c>
      <c r="M45" s="21">
        <f>COUNTIFS('Data-TSD+1'!$AC:$AC,L$1,'Data-TSD+1'!$P:$P,"Very satisfactory (100%)")</f>
        <v>0</v>
      </c>
      <c r="N45" s="27" t="str">
        <f t="shared" ref="N45:N49" si="145">IF(L45 &lt;&gt; 0,M45/L45,"")</f>
        <v/>
      </c>
      <c r="O45" s="21">
        <f>COUNTIFS('Data-TSD+1'!$AC:$AC,O$1,'Data-TSD+1'!$P:$P,"&lt;&gt;" &amp; "")</f>
        <v>0</v>
      </c>
      <c r="P45" s="21">
        <f>COUNTIFS('Data-TSD+1'!$AC:$AC,O$1,'Data-TSD+1'!$P:$P,"Very satisfactory (100%)")</f>
        <v>0</v>
      </c>
      <c r="Q45" s="27" t="str">
        <f t="shared" ref="Q45:Q49" si="146">IF(O45 &lt;&gt; 0,P45/O45,"")</f>
        <v/>
      </c>
      <c r="R45" s="21">
        <f>COUNTIFS('Data-TSD+1'!$AC:$AC,R$1,'Data-TSD+1'!$P:$P,"&lt;&gt;" &amp; "")</f>
        <v>0</v>
      </c>
      <c r="S45" s="21">
        <f>COUNTIFS('Data-TSD+1'!$AC:$AC,R$1,'Data-TSD+1'!$P:$P,"Very satisfactory (100%)")</f>
        <v>0</v>
      </c>
      <c r="T45" s="27" t="str">
        <f t="shared" ref="T45:T49" si="147">IF(R45 &lt;&gt; 0,S45/R45,"")</f>
        <v/>
      </c>
      <c r="U45" s="21">
        <f>COUNTIFS('Data-TSD+1'!$AC:$AC,U$1,'Data-TSD+1'!$P:$P,"&lt;&gt;" &amp; "")</f>
        <v>0</v>
      </c>
      <c r="V45" s="21">
        <f>COUNTIFS('Data-TSD+1'!$AC:$AC,U$1,'Data-TSD+1'!$P:$P,"Very satisfactory (100%)")</f>
        <v>0</v>
      </c>
      <c r="W45" s="27" t="str">
        <f t="shared" ref="W45:W49" si="148">IF(U45 &lt;&gt; 0,V45/U45,"")</f>
        <v/>
      </c>
      <c r="X45" s="21">
        <f>COUNTIFS('Data-TSD+1'!$AC:$AC,X$1,'Data-TSD+1'!$P:$P,"&lt;&gt;" &amp; "")</f>
        <v>0</v>
      </c>
      <c r="Y45" s="21">
        <f>COUNTIFS('Data-TSD+1'!$AC:$AC,X$1,'Data-TSD+1'!$P:$P,"Very satisfactory (100%)")</f>
        <v>0</v>
      </c>
      <c r="Z45" s="27" t="str">
        <f t="shared" ref="Z45:Z49" si="149">IF(X45 &lt;&gt; 0,Y45/X45,"")</f>
        <v/>
      </c>
      <c r="AA45" s="21">
        <f>COUNTIFS('Data-TSD+1'!$AC:$AC,AA$1,'Data-TSD+1'!$P:$P,"&lt;&gt;" &amp; "")</f>
        <v>0</v>
      </c>
      <c r="AB45" s="21">
        <f>COUNTIFS('Data-TSD+1'!$AC:$AC,AA$1,'Data-TSD+1'!$P:$P,"Very satisfactory (100%)")</f>
        <v>0</v>
      </c>
      <c r="AC45" s="27" t="str">
        <f t="shared" ref="AC45:AC49" si="150">IF(AA45 &lt;&gt; 0,AB45/AA45,"")</f>
        <v/>
      </c>
      <c r="AD45" s="21">
        <f>COUNTIFS('Data-TSD+1'!$AC:$AC,AD$1,'Data-TSD+1'!$P:$P,"&lt;&gt;" &amp; "")</f>
        <v>0</v>
      </c>
      <c r="AE45" s="21">
        <f>COUNTIFS('Data-TSD+1'!$AC:$AC,AD$1,'Data-TSD+1'!$P:$P,"Very satisfactory (100%)")</f>
        <v>0</v>
      </c>
      <c r="AF45" s="27" t="str">
        <f t="shared" ref="AF45:AF49" si="151">IF(AD45 &lt;&gt; 0,AE45/AD45,"")</f>
        <v/>
      </c>
      <c r="AG45" s="21">
        <f>COUNTIFS('Data-TSD+1'!$AC:$AC,AG$1,'Data-TSD+1'!$P:$P,"&lt;&gt;" &amp; "")</f>
        <v>0</v>
      </c>
      <c r="AH45" s="21">
        <f>COUNTIFS('Data-TSD+1'!$AC:$AC,AG$1,'Data-TSD+1'!$P:$P,"Very satisfactory (100%)")</f>
        <v>0</v>
      </c>
      <c r="AI45" s="27" t="str">
        <f t="shared" ref="AI45:AI49" si="152">IF(AG45 &lt;&gt; 0,AH45/AG45,"")</f>
        <v/>
      </c>
      <c r="AJ45" s="21">
        <f>COUNTIFS('Data-TSD+1'!$AC:$AC,AJ$1,'Data-TSD+1'!$P:$P,"&lt;&gt;" &amp; "")</f>
        <v>0</v>
      </c>
      <c r="AK45" s="21">
        <f>COUNTIFS('Data-TSD+1'!$AC:$AC,AJ$1,'Data-TSD+1'!$P:$P,"Very satisfactory (100%)")</f>
        <v>0</v>
      </c>
      <c r="AL45" s="27" t="str">
        <f t="shared" ref="AL45:AL49" si="153">IF(AJ45 &lt;&gt; 0,AK45/AJ45,"")</f>
        <v/>
      </c>
      <c r="AM45" s="21">
        <f>COUNTIFS('Data-TSD+1'!$AC:$AC,AM$1,'Data-TSD+1'!$P:$P,"&lt;&gt;" &amp; "")</f>
        <v>0</v>
      </c>
      <c r="AN45" s="21">
        <f>COUNTIFS('Data-TSD+1'!$AC:$AC,AM$1,'Data-TSD+1'!$P:$P,"Very satisfactory (100%)")</f>
        <v>0</v>
      </c>
      <c r="AO45" s="27" t="str">
        <f t="shared" ref="AO45:AO49" si="154">IF(AM45 &lt;&gt; 0,AN45/AM45,"")</f>
        <v/>
      </c>
    </row>
    <row r="46" spans="1:41" x14ac:dyDescent="0.3">
      <c r="A46" s="25"/>
      <c r="B46" s="33" t="s">
        <v>120</v>
      </c>
      <c r="C46" s="21">
        <f>C45</f>
        <v>1</v>
      </c>
      <c r="D46" s="21">
        <f t="shared" si="100"/>
        <v>0</v>
      </c>
      <c r="E46" s="27">
        <f t="shared" si="142"/>
        <v>0</v>
      </c>
      <c r="F46" s="21">
        <f>F45</f>
        <v>1</v>
      </c>
      <c r="G46" s="21">
        <f>COUNTIFS('Data-TSD+1'!$AC:$AC,F$1,'Data-TSD+1'!$P:$P,"Satisfactory (80%)")</f>
        <v>0</v>
      </c>
      <c r="H46" s="27">
        <f t="shared" si="143"/>
        <v>0</v>
      </c>
      <c r="I46" s="21">
        <f>I45</f>
        <v>0</v>
      </c>
      <c r="J46" s="21">
        <f>COUNTIFS('Data-TSD+1'!$AC:$AC,I$1,'Data-TSD+1'!$P:$P,"Satisfactory (80%)")</f>
        <v>0</v>
      </c>
      <c r="K46" s="27" t="str">
        <f t="shared" si="144"/>
        <v/>
      </c>
      <c r="L46" s="21">
        <f>L45</f>
        <v>0</v>
      </c>
      <c r="M46" s="21">
        <f>COUNTIFS('Data-TSD+1'!$AC:$AC,L$1,'Data-TSD+1'!$P:$P,"Satisfactory (80%)")</f>
        <v>0</v>
      </c>
      <c r="N46" s="27" t="str">
        <f t="shared" si="145"/>
        <v/>
      </c>
      <c r="O46" s="21">
        <f>O45</f>
        <v>0</v>
      </c>
      <c r="P46" s="21">
        <f>COUNTIFS('Data-TSD+1'!$AC:$AC,O$1,'Data-TSD+1'!$P:$P,"Satisfactory (80%)")</f>
        <v>0</v>
      </c>
      <c r="Q46" s="27" t="str">
        <f t="shared" si="146"/>
        <v/>
      </c>
      <c r="R46" s="21">
        <f>R45</f>
        <v>0</v>
      </c>
      <c r="S46" s="21">
        <f>COUNTIFS('Data-TSD+1'!$AC:$AC,R$1,'Data-TSD+1'!$P:$P,"Satisfactory (80%)")</f>
        <v>0</v>
      </c>
      <c r="T46" s="27" t="str">
        <f t="shared" si="147"/>
        <v/>
      </c>
      <c r="U46" s="21">
        <f>U45</f>
        <v>0</v>
      </c>
      <c r="V46" s="21">
        <f>COUNTIFS('Data-TSD+1'!$AC:$AC,U$1,'Data-TSD+1'!$P:$P,"Satisfactory (80%)")</f>
        <v>0</v>
      </c>
      <c r="W46" s="27" t="str">
        <f t="shared" si="148"/>
        <v/>
      </c>
      <c r="X46" s="21">
        <f>X45</f>
        <v>0</v>
      </c>
      <c r="Y46" s="21">
        <f>COUNTIFS('Data-TSD+1'!$AC:$AC,X$1,'Data-TSD+1'!$P:$P,"Satisfactory (80%)")</f>
        <v>0</v>
      </c>
      <c r="Z46" s="27" t="str">
        <f t="shared" si="149"/>
        <v/>
      </c>
      <c r="AA46" s="21">
        <f>AA45</f>
        <v>0</v>
      </c>
      <c r="AB46" s="21">
        <f>COUNTIFS('Data-TSD+1'!$AC:$AC,AA$1,'Data-TSD+1'!$P:$P,"Satisfactory (80%)")</f>
        <v>0</v>
      </c>
      <c r="AC46" s="27" t="str">
        <f t="shared" si="150"/>
        <v/>
      </c>
      <c r="AD46" s="21">
        <f>AD45</f>
        <v>0</v>
      </c>
      <c r="AE46" s="21">
        <f>COUNTIFS('Data-TSD+1'!$AC:$AC,AD$1,'Data-TSD+1'!$P:$P,"Satisfactory (80%)")</f>
        <v>0</v>
      </c>
      <c r="AF46" s="27" t="str">
        <f t="shared" si="151"/>
        <v/>
      </c>
      <c r="AG46" s="21">
        <f>AG45</f>
        <v>0</v>
      </c>
      <c r="AH46" s="21">
        <f>COUNTIFS('Data-TSD+1'!$AC:$AC,AG$1,'Data-TSD+1'!$P:$P,"Satisfactory (80%)")</f>
        <v>0</v>
      </c>
      <c r="AI46" s="27" t="str">
        <f t="shared" si="152"/>
        <v/>
      </c>
      <c r="AJ46" s="21">
        <f>AJ45</f>
        <v>0</v>
      </c>
      <c r="AK46" s="21">
        <f>COUNTIFS('Data-TSD+1'!$AC:$AC,AJ$1,'Data-TSD+1'!$P:$P,"Satisfactory (80%)")</f>
        <v>0</v>
      </c>
      <c r="AL46" s="27" t="str">
        <f t="shared" si="153"/>
        <v/>
      </c>
      <c r="AM46" s="21">
        <f>AM45</f>
        <v>0</v>
      </c>
      <c r="AN46" s="21">
        <f>COUNTIFS('Data-TSD+1'!$AC:$AC,AM$1,'Data-TSD+1'!$P:$P,"Satisfactory (80%)")</f>
        <v>0</v>
      </c>
      <c r="AO46" s="27" t="str">
        <f t="shared" si="154"/>
        <v/>
      </c>
    </row>
    <row r="47" spans="1:41" x14ac:dyDescent="0.3">
      <c r="A47" s="25"/>
      <c r="B47" s="33" t="s">
        <v>121</v>
      </c>
      <c r="C47" s="21">
        <f t="shared" ref="C47:C49" si="155">C46</f>
        <v>1</v>
      </c>
      <c r="D47" s="21">
        <f t="shared" si="100"/>
        <v>0</v>
      </c>
      <c r="E47" s="27">
        <f t="shared" si="142"/>
        <v>0</v>
      </c>
      <c r="F47" s="21">
        <f>F46</f>
        <v>1</v>
      </c>
      <c r="G47" s="21">
        <f>COUNTIFS('Data-TSD+1'!$AC:$AC,F$1,'Data-TSD+1'!$P:$P,"Average (60%)")</f>
        <v>0</v>
      </c>
      <c r="H47" s="27">
        <f t="shared" si="143"/>
        <v>0</v>
      </c>
      <c r="I47" s="21">
        <f>I46</f>
        <v>0</v>
      </c>
      <c r="J47" s="21">
        <f>COUNTIFS('Data-TSD+1'!$AC:$AC,I$1,'Data-TSD+1'!$P:$P,"Average (60%)")</f>
        <v>0</v>
      </c>
      <c r="K47" s="27" t="str">
        <f t="shared" si="144"/>
        <v/>
      </c>
      <c r="L47" s="21">
        <f>L46</f>
        <v>0</v>
      </c>
      <c r="M47" s="21">
        <f>COUNTIFS('Data-TSD+1'!$AC:$AC,L$1,'Data-TSD+1'!$P:$P,"Average (60%)")</f>
        <v>0</v>
      </c>
      <c r="N47" s="27" t="str">
        <f t="shared" si="145"/>
        <v/>
      </c>
      <c r="O47" s="21">
        <f>O46</f>
        <v>0</v>
      </c>
      <c r="P47" s="21">
        <f>COUNTIFS('Data-TSD+1'!$AC:$AC,O$1,'Data-TSD+1'!$P:$P,"Average (60%)")</f>
        <v>0</v>
      </c>
      <c r="Q47" s="27" t="str">
        <f t="shared" si="146"/>
        <v/>
      </c>
      <c r="R47" s="21">
        <f>R46</f>
        <v>0</v>
      </c>
      <c r="S47" s="21">
        <f>COUNTIFS('Data-TSD+1'!$AC:$AC,R$1,'Data-TSD+1'!$P:$P,"Average (60%)")</f>
        <v>0</v>
      </c>
      <c r="T47" s="27" t="str">
        <f t="shared" si="147"/>
        <v/>
      </c>
      <c r="U47" s="21">
        <f>U46</f>
        <v>0</v>
      </c>
      <c r="V47" s="21">
        <f>COUNTIFS('Data-TSD+1'!$AC:$AC,U$1,'Data-TSD+1'!$P:$P,"Average (60%)")</f>
        <v>0</v>
      </c>
      <c r="W47" s="27" t="str">
        <f t="shared" si="148"/>
        <v/>
      </c>
      <c r="X47" s="21">
        <f>X46</f>
        <v>0</v>
      </c>
      <c r="Y47" s="21">
        <f>COUNTIFS('Data-TSD+1'!$AC:$AC,X$1,'Data-TSD+1'!$P:$P,"Average (60%)")</f>
        <v>0</v>
      </c>
      <c r="Z47" s="27" t="str">
        <f t="shared" si="149"/>
        <v/>
      </c>
      <c r="AA47" s="21">
        <f>AA46</f>
        <v>0</v>
      </c>
      <c r="AB47" s="21">
        <f>COUNTIFS('Data-TSD+1'!$AC:$AC,AA$1,'Data-TSD+1'!$P:$P,"Average (60%)")</f>
        <v>0</v>
      </c>
      <c r="AC47" s="27" t="str">
        <f t="shared" si="150"/>
        <v/>
      </c>
      <c r="AD47" s="21">
        <f>AD46</f>
        <v>0</v>
      </c>
      <c r="AE47" s="21">
        <f>COUNTIFS('Data-TSD+1'!$AC:$AC,AD$1,'Data-TSD+1'!$P:$P,"Average (60%)")</f>
        <v>0</v>
      </c>
      <c r="AF47" s="27" t="str">
        <f t="shared" si="151"/>
        <v/>
      </c>
      <c r="AG47" s="21">
        <f>AG46</f>
        <v>0</v>
      </c>
      <c r="AH47" s="21">
        <f>COUNTIFS('Data-TSD+1'!$AC:$AC,AG$1,'Data-TSD+1'!$P:$P,"Average (60%)")</f>
        <v>0</v>
      </c>
      <c r="AI47" s="27" t="str">
        <f t="shared" si="152"/>
        <v/>
      </c>
      <c r="AJ47" s="21">
        <f>AJ46</f>
        <v>0</v>
      </c>
      <c r="AK47" s="21">
        <f>COUNTIFS('Data-TSD+1'!$AC:$AC,AJ$1,'Data-TSD+1'!$P:$P,"Average (60%)")</f>
        <v>0</v>
      </c>
      <c r="AL47" s="27" t="str">
        <f t="shared" si="153"/>
        <v/>
      </c>
      <c r="AM47" s="21">
        <f>AM46</f>
        <v>0</v>
      </c>
      <c r="AN47" s="21">
        <f>COUNTIFS('Data-TSD+1'!$AC:$AC,AM$1,'Data-TSD+1'!$P:$P,"Average (60%)")</f>
        <v>0</v>
      </c>
      <c r="AO47" s="27" t="str">
        <f t="shared" si="154"/>
        <v/>
      </c>
    </row>
    <row r="48" spans="1:41" x14ac:dyDescent="0.3">
      <c r="A48" s="25"/>
      <c r="B48" s="33" t="s">
        <v>122</v>
      </c>
      <c r="C48" s="21">
        <f t="shared" si="155"/>
        <v>1</v>
      </c>
      <c r="D48" s="21">
        <f t="shared" si="100"/>
        <v>0</v>
      </c>
      <c r="E48" s="27">
        <f t="shared" si="142"/>
        <v>0</v>
      </c>
      <c r="F48" s="21">
        <f>F47</f>
        <v>1</v>
      </c>
      <c r="G48" s="21">
        <f>COUNTIFS('Data-TSD+1'!$AC:$AC,F$1,'Data-TSD+1'!$P:$P,"Unsatisfactory (40%)")</f>
        <v>0</v>
      </c>
      <c r="H48" s="27">
        <f t="shared" si="143"/>
        <v>0</v>
      </c>
      <c r="I48" s="21">
        <f>I47</f>
        <v>0</v>
      </c>
      <c r="J48" s="21">
        <f>COUNTIFS('Data-TSD+1'!$AC:$AC,I$1,'Data-TSD+1'!$P:$P,"Unsatisfactory (40%)")</f>
        <v>0</v>
      </c>
      <c r="K48" s="27" t="str">
        <f t="shared" si="144"/>
        <v/>
      </c>
      <c r="L48" s="21">
        <f>L47</f>
        <v>0</v>
      </c>
      <c r="M48" s="21">
        <f>COUNTIFS('Data-TSD+1'!$AC:$AC,L$1,'Data-TSD+1'!$P:$P,"Unsatisfactory (40%)")</f>
        <v>0</v>
      </c>
      <c r="N48" s="27" t="str">
        <f t="shared" si="145"/>
        <v/>
      </c>
      <c r="O48" s="21">
        <f>O47</f>
        <v>0</v>
      </c>
      <c r="P48" s="21">
        <f>COUNTIFS('Data-TSD+1'!$AC:$AC,O$1,'Data-TSD+1'!$P:$P,"Unsatisfactory (40%)")</f>
        <v>0</v>
      </c>
      <c r="Q48" s="27" t="str">
        <f t="shared" si="146"/>
        <v/>
      </c>
      <c r="R48" s="21">
        <f>R47</f>
        <v>0</v>
      </c>
      <c r="S48" s="21">
        <f>COUNTIFS('Data-TSD+1'!$AC:$AC,R$1,'Data-TSD+1'!$P:$P,"Unsatisfactory (40%)")</f>
        <v>0</v>
      </c>
      <c r="T48" s="27" t="str">
        <f t="shared" si="147"/>
        <v/>
      </c>
      <c r="U48" s="21">
        <f>U47</f>
        <v>0</v>
      </c>
      <c r="V48" s="21">
        <f>COUNTIFS('Data-TSD+1'!$AC:$AC,U$1,'Data-TSD+1'!$P:$P,"Unsatisfactory (40%)")</f>
        <v>0</v>
      </c>
      <c r="W48" s="27" t="str">
        <f t="shared" si="148"/>
        <v/>
      </c>
      <c r="X48" s="21">
        <f>X47</f>
        <v>0</v>
      </c>
      <c r="Y48" s="21">
        <f>COUNTIFS('Data-TSD+1'!$AC:$AC,X$1,'Data-TSD+1'!$P:$P,"Unsatisfactory (40%)")</f>
        <v>0</v>
      </c>
      <c r="Z48" s="27" t="str">
        <f t="shared" si="149"/>
        <v/>
      </c>
      <c r="AA48" s="21">
        <f>AA47</f>
        <v>0</v>
      </c>
      <c r="AB48" s="21">
        <f>COUNTIFS('Data-TSD+1'!$AC:$AC,AA$1,'Data-TSD+1'!$P:$P,"Unsatisfactory (40%)")</f>
        <v>0</v>
      </c>
      <c r="AC48" s="27" t="str">
        <f t="shared" si="150"/>
        <v/>
      </c>
      <c r="AD48" s="21">
        <f>AD47</f>
        <v>0</v>
      </c>
      <c r="AE48" s="21">
        <f>COUNTIFS('Data-TSD+1'!$AC:$AC,AD$1,'Data-TSD+1'!$P:$P,"Unsatisfactory (40%)")</f>
        <v>0</v>
      </c>
      <c r="AF48" s="27" t="str">
        <f t="shared" si="151"/>
        <v/>
      </c>
      <c r="AG48" s="21">
        <f>AG47</f>
        <v>0</v>
      </c>
      <c r="AH48" s="21">
        <f>COUNTIFS('Data-TSD+1'!$AC:$AC,AG$1,'Data-TSD+1'!$P:$P,"Unsatisfactory (40%)")</f>
        <v>0</v>
      </c>
      <c r="AI48" s="27" t="str">
        <f t="shared" si="152"/>
        <v/>
      </c>
      <c r="AJ48" s="21">
        <f>AJ47</f>
        <v>0</v>
      </c>
      <c r="AK48" s="21">
        <f>COUNTIFS('Data-TSD+1'!$AC:$AC,AJ$1,'Data-TSD+1'!$P:$P,"Unsatisfactory (40%)")</f>
        <v>0</v>
      </c>
      <c r="AL48" s="27" t="str">
        <f t="shared" si="153"/>
        <v/>
      </c>
      <c r="AM48" s="21">
        <f>AM47</f>
        <v>0</v>
      </c>
      <c r="AN48" s="21">
        <f>COUNTIFS('Data-TSD+1'!$AC:$AC,AM$1,'Data-TSD+1'!$P:$P,"Unsatisfactory (40%)")</f>
        <v>0</v>
      </c>
      <c r="AO48" s="27" t="str">
        <f t="shared" si="154"/>
        <v/>
      </c>
    </row>
    <row r="49" spans="1:41" x14ac:dyDescent="0.3">
      <c r="A49" s="25"/>
      <c r="B49" s="33" t="s">
        <v>123</v>
      </c>
      <c r="C49" s="21">
        <f t="shared" si="155"/>
        <v>1</v>
      </c>
      <c r="D49" s="21">
        <f t="shared" si="100"/>
        <v>0</v>
      </c>
      <c r="E49" s="27">
        <f t="shared" si="142"/>
        <v>0</v>
      </c>
      <c r="F49" s="21">
        <f>F48</f>
        <v>1</v>
      </c>
      <c r="G49" s="21">
        <f>COUNTIFS('Data-TSD+1'!$AC:$AC,F$1,'Data-TSD+1'!$P:$P,"Very unsatisfactory (20%)")</f>
        <v>0</v>
      </c>
      <c r="H49" s="27">
        <f t="shared" si="143"/>
        <v>0</v>
      </c>
      <c r="I49" s="21">
        <f>I48</f>
        <v>0</v>
      </c>
      <c r="J49" s="21">
        <f>COUNTIFS('Data-TSD+1'!$AC:$AC,I$1,'Data-TSD+1'!$P:$P,"Very unsatisfactory (20%)")</f>
        <v>0</v>
      </c>
      <c r="K49" s="27" t="str">
        <f t="shared" si="144"/>
        <v/>
      </c>
      <c r="L49" s="21">
        <f>L48</f>
        <v>0</v>
      </c>
      <c r="M49" s="21">
        <f>COUNTIFS('Data-TSD+1'!$AC:$AC,L$1,'Data-TSD+1'!$P:$P,"Very unsatisfactory (20%)")</f>
        <v>0</v>
      </c>
      <c r="N49" s="27" t="str">
        <f t="shared" si="145"/>
        <v/>
      </c>
      <c r="O49" s="21">
        <f>O48</f>
        <v>0</v>
      </c>
      <c r="P49" s="21">
        <f>COUNTIFS('Data-TSD+1'!$AC:$AC,O$1,'Data-TSD+1'!$P:$P,"Very unsatisfactory (20%)")</f>
        <v>0</v>
      </c>
      <c r="Q49" s="27" t="str">
        <f t="shared" si="146"/>
        <v/>
      </c>
      <c r="R49" s="21">
        <f>R48</f>
        <v>0</v>
      </c>
      <c r="S49" s="21">
        <f>COUNTIFS('Data-TSD+1'!$AC:$AC,R$1,'Data-TSD+1'!$P:$P,"Very unsatisfactory (20%)")</f>
        <v>0</v>
      </c>
      <c r="T49" s="27" t="str">
        <f t="shared" si="147"/>
        <v/>
      </c>
      <c r="U49" s="21">
        <f>U48</f>
        <v>0</v>
      </c>
      <c r="V49" s="21">
        <f>COUNTIFS('Data-TSD+1'!$AC:$AC,U$1,'Data-TSD+1'!$P:$P,"Very unsatisfactory (20%)")</f>
        <v>0</v>
      </c>
      <c r="W49" s="27" t="str">
        <f t="shared" si="148"/>
        <v/>
      </c>
      <c r="X49" s="21">
        <f>X48</f>
        <v>0</v>
      </c>
      <c r="Y49" s="21">
        <f>COUNTIFS('Data-TSD+1'!$AC:$AC,X$1,'Data-TSD+1'!$P:$P,"Very unsatisfactory (20%)")</f>
        <v>0</v>
      </c>
      <c r="Z49" s="27" t="str">
        <f t="shared" si="149"/>
        <v/>
      </c>
      <c r="AA49" s="21">
        <f>AA48</f>
        <v>0</v>
      </c>
      <c r="AB49" s="21">
        <f>COUNTIFS('Data-TSD+1'!$AC:$AC,AA$1,'Data-TSD+1'!$P:$P,"Very unsatisfactory (20%)")</f>
        <v>0</v>
      </c>
      <c r="AC49" s="27" t="str">
        <f t="shared" si="150"/>
        <v/>
      </c>
      <c r="AD49" s="21">
        <f>AD48</f>
        <v>0</v>
      </c>
      <c r="AE49" s="21">
        <f>COUNTIFS('Data-TSD+1'!$AC:$AC,AD$1,'Data-TSD+1'!$P:$P,"Very unsatisfactory (20%)")</f>
        <v>0</v>
      </c>
      <c r="AF49" s="27" t="str">
        <f t="shared" si="151"/>
        <v/>
      </c>
      <c r="AG49" s="21">
        <f>AG48</f>
        <v>0</v>
      </c>
      <c r="AH49" s="21">
        <f>COUNTIFS('Data-TSD+1'!$AC:$AC,AG$1,'Data-TSD+1'!$P:$P,"Very unsatisfactory (20%)")</f>
        <v>0</v>
      </c>
      <c r="AI49" s="27" t="str">
        <f t="shared" si="152"/>
        <v/>
      </c>
      <c r="AJ49" s="21">
        <f>AJ48</f>
        <v>0</v>
      </c>
      <c r="AK49" s="21">
        <f>COUNTIFS('Data-TSD+1'!$AC:$AC,AJ$1,'Data-TSD+1'!$P:$P,"Very unsatisfactory (20%)")</f>
        <v>0</v>
      </c>
      <c r="AL49" s="27" t="str">
        <f t="shared" si="153"/>
        <v/>
      </c>
      <c r="AM49" s="21">
        <f>AM48</f>
        <v>0</v>
      </c>
      <c r="AN49" s="21">
        <f>COUNTIFS('Data-TSD+1'!$AC:$AC,AM$1,'Data-TSD+1'!$P:$P,"Very unsatisfactory (20%)")</f>
        <v>0</v>
      </c>
      <c r="AO49" s="27" t="str">
        <f t="shared" si="154"/>
        <v/>
      </c>
    </row>
    <row r="50" spans="1:41" x14ac:dyDescent="0.3">
      <c r="A50" s="21">
        <v>9</v>
      </c>
      <c r="B50" s="29" t="s">
        <v>77</v>
      </c>
      <c r="C50" s="21"/>
      <c r="D50" s="21"/>
      <c r="E50" s="27"/>
      <c r="F50" s="21"/>
      <c r="G50" s="21"/>
      <c r="H50" s="27"/>
      <c r="I50" s="21"/>
      <c r="J50" s="21"/>
      <c r="K50" s="27"/>
      <c r="L50" s="21"/>
      <c r="M50" s="21"/>
      <c r="N50" s="27"/>
      <c r="O50" s="21"/>
      <c r="P50" s="21"/>
      <c r="Q50" s="27"/>
      <c r="R50" s="21"/>
      <c r="S50" s="21"/>
      <c r="T50" s="27"/>
      <c r="U50" s="21"/>
      <c r="V50" s="21"/>
      <c r="W50" s="27"/>
      <c r="X50" s="21"/>
      <c r="Y50" s="21"/>
      <c r="Z50" s="27"/>
      <c r="AA50" s="21"/>
      <c r="AB50" s="21"/>
      <c r="AC50" s="27"/>
      <c r="AD50" s="21"/>
      <c r="AE50" s="21"/>
      <c r="AF50" s="27"/>
      <c r="AG50" s="21"/>
      <c r="AH50" s="21"/>
      <c r="AI50" s="27"/>
      <c r="AJ50" s="21"/>
      <c r="AK50" s="21"/>
      <c r="AL50" s="27"/>
      <c r="AM50" s="21"/>
      <c r="AN50" s="21"/>
      <c r="AO50" s="27"/>
    </row>
    <row r="51" spans="1:41" x14ac:dyDescent="0.3">
      <c r="A51" s="25"/>
      <c r="B51" s="33" t="s">
        <v>119</v>
      </c>
      <c r="C51" s="21">
        <f>COUNTIF('Data-TSD+1'!$Q:$Q,"&lt;&gt;" &amp; "")-1</f>
        <v>1</v>
      </c>
      <c r="D51" s="21">
        <f t="shared" ref="D51:D55" si="156">G51+J51+M51+P51+S51+V51+Y51+AB51+AE51+AH51+AK51+AN51</f>
        <v>1</v>
      </c>
      <c r="E51" s="27">
        <f t="shared" ref="E51:E55" si="157">IF(C51 &lt;&gt; 0,D51/C51,"")</f>
        <v>1</v>
      </c>
      <c r="F51" s="21">
        <f>COUNTIFS('Data-TSD+1'!$AC:$AC,F$1,'Data-TSD+1'!$Q:$Q,"&lt;&gt;" &amp; "")</f>
        <v>1</v>
      </c>
      <c r="G51" s="21">
        <f>COUNTIFS('Data-TSD+1'!$AC:$AC,F$1,'Data-TSD+1'!$Q:$Q,"Very satisfactory (100%)")</f>
        <v>1</v>
      </c>
      <c r="H51" s="27">
        <f t="shared" ref="H51:H55" si="158">IF(F51 &lt;&gt; 0,G51/F51,"")</f>
        <v>1</v>
      </c>
      <c r="I51" s="21">
        <f>COUNTIFS('Data-TSD+1'!$AC:$AC,I$1,'Data-TSD+1'!$Q:$Q,"&lt;&gt;" &amp; "")</f>
        <v>0</v>
      </c>
      <c r="J51" s="21">
        <f>COUNTIFS('Data-TSD+1'!$AC:$AC,I$1,'Data-TSD+1'!$Q:$Q,"Very satisfactory (100%)")</f>
        <v>0</v>
      </c>
      <c r="K51" s="27" t="str">
        <f t="shared" ref="K51:K55" si="159">IF(I51 &lt;&gt; 0,J51/I51,"")</f>
        <v/>
      </c>
      <c r="L51" s="21">
        <f>COUNTIFS('Data-TSD+1'!$AC:$AC,L$1,'Data-TSD+1'!$Q:$Q,"&lt;&gt;" &amp; "")</f>
        <v>0</v>
      </c>
      <c r="M51" s="21">
        <f>COUNTIFS('Data-TSD+1'!$AC:$AC,L$1,'Data-TSD+1'!$Q:$Q,"Very satisfactory (100%)")</f>
        <v>0</v>
      </c>
      <c r="N51" s="27" t="str">
        <f t="shared" ref="N51:N55" si="160">IF(L51 &lt;&gt; 0,M51/L51,"")</f>
        <v/>
      </c>
      <c r="O51" s="21">
        <f>COUNTIFS('Data-TSD+1'!$AC:$AC,O$1,'Data-TSD+1'!$Q:$Q,"&lt;&gt;" &amp; "")</f>
        <v>0</v>
      </c>
      <c r="P51" s="21">
        <f>COUNTIFS('Data-TSD+1'!$AC:$AC,O$1,'Data-TSD+1'!$Q:$Q,"Very satisfactory (100%)")</f>
        <v>0</v>
      </c>
      <c r="Q51" s="27" t="str">
        <f t="shared" ref="Q51:Q55" si="161">IF(O51 &lt;&gt; 0,P51/O51,"")</f>
        <v/>
      </c>
      <c r="R51" s="21">
        <f>COUNTIFS('Data-TSD+1'!$AC:$AC,R$1,'Data-TSD+1'!$Q:$Q,"&lt;&gt;" &amp; "")</f>
        <v>0</v>
      </c>
      <c r="S51" s="21">
        <f>COUNTIFS('Data-TSD+1'!$AC:$AC,R$1,'Data-TSD+1'!$Q:$Q,"Very satisfactory (100%)")</f>
        <v>0</v>
      </c>
      <c r="T51" s="27" t="str">
        <f t="shared" ref="T51:T55" si="162">IF(R51 &lt;&gt; 0,S51/R51,"")</f>
        <v/>
      </c>
      <c r="U51" s="21">
        <f>COUNTIFS('Data-TSD+1'!$AC:$AC,U$1,'Data-TSD+1'!$Q:$Q,"&lt;&gt;" &amp; "")</f>
        <v>0</v>
      </c>
      <c r="V51" s="21">
        <f>COUNTIFS('Data-TSD+1'!$AC:$AC,U$1,'Data-TSD+1'!$Q:$Q,"Very satisfactory (100%)")</f>
        <v>0</v>
      </c>
      <c r="W51" s="27" t="str">
        <f t="shared" ref="W51:W55" si="163">IF(U51 &lt;&gt; 0,V51/U51,"")</f>
        <v/>
      </c>
      <c r="X51" s="21">
        <f>COUNTIFS('Data-TSD+1'!$AC:$AC,X$1,'Data-TSD+1'!$Q:$Q,"&lt;&gt;" &amp; "")</f>
        <v>0</v>
      </c>
      <c r="Y51" s="21">
        <f>COUNTIFS('Data-TSD+1'!$AC:$AC,X$1,'Data-TSD+1'!$Q:$Q,"Very satisfactory (100%)")</f>
        <v>0</v>
      </c>
      <c r="Z51" s="27" t="str">
        <f t="shared" ref="Z51:Z55" si="164">IF(X51 &lt;&gt; 0,Y51/X51,"")</f>
        <v/>
      </c>
      <c r="AA51" s="21">
        <f>COUNTIFS('Data-TSD+1'!$AC:$AC,AA$1,'Data-TSD+1'!$Q:$Q,"&lt;&gt;" &amp; "")</f>
        <v>0</v>
      </c>
      <c r="AB51" s="21">
        <f>COUNTIFS('Data-TSD+1'!$AC:$AC,AA$1,'Data-TSD+1'!$Q:$Q,"Very satisfactory (100%)")</f>
        <v>0</v>
      </c>
      <c r="AC51" s="27" t="str">
        <f t="shared" ref="AC51:AC55" si="165">IF(AA51 &lt;&gt; 0,AB51/AA51,"")</f>
        <v/>
      </c>
      <c r="AD51" s="21">
        <f>COUNTIFS('Data-TSD+1'!$AC:$AC,AD$1,'Data-TSD+1'!$Q:$Q,"&lt;&gt;" &amp; "")</f>
        <v>0</v>
      </c>
      <c r="AE51" s="21">
        <f>COUNTIFS('Data-TSD+1'!$AC:$AC,AD$1,'Data-TSD+1'!$Q:$Q,"Very satisfactory (100%)")</f>
        <v>0</v>
      </c>
      <c r="AF51" s="27" t="str">
        <f t="shared" ref="AF51:AF55" si="166">IF(AD51 &lt;&gt; 0,AE51/AD51,"")</f>
        <v/>
      </c>
      <c r="AG51" s="21">
        <f>COUNTIFS('Data-TSD+1'!$AC:$AC,AG$1,'Data-TSD+1'!$Q:$Q,"&lt;&gt;" &amp; "")</f>
        <v>0</v>
      </c>
      <c r="AH51" s="21">
        <f>COUNTIFS('Data-TSD+1'!$AC:$AC,AG$1,'Data-TSD+1'!$Q:$Q,"Very satisfactory (100%)")</f>
        <v>0</v>
      </c>
      <c r="AI51" s="27" t="str">
        <f t="shared" ref="AI51:AI55" si="167">IF(AG51 &lt;&gt; 0,AH51/AG51,"")</f>
        <v/>
      </c>
      <c r="AJ51" s="21">
        <f>COUNTIFS('Data-TSD+1'!$AC:$AC,AJ$1,'Data-TSD+1'!$Q:$Q,"&lt;&gt;" &amp; "")</f>
        <v>0</v>
      </c>
      <c r="AK51" s="21">
        <f>COUNTIFS('Data-TSD+1'!$AC:$AC,AJ$1,'Data-TSD+1'!$Q:$Q,"Very satisfactory (100%)")</f>
        <v>0</v>
      </c>
      <c r="AL51" s="27" t="str">
        <f t="shared" ref="AL51:AL55" si="168">IF(AJ51 &lt;&gt; 0,AK51/AJ51,"")</f>
        <v/>
      </c>
      <c r="AM51" s="21">
        <f>COUNTIFS('Data-TSD+1'!$AC:$AC,AM$1,'Data-TSD+1'!$Q:$Q,"&lt;&gt;" &amp; "")</f>
        <v>0</v>
      </c>
      <c r="AN51" s="21">
        <f>COUNTIFS('Data-TSD+1'!$AC:$AC,AM$1,'Data-TSD+1'!$Q:$Q,"Very satisfactory (100%)")</f>
        <v>0</v>
      </c>
      <c r="AO51" s="27" t="str">
        <f t="shared" ref="AO51:AO55" si="169">IF(AM51 &lt;&gt; 0,AN51/AM51,"")</f>
        <v/>
      </c>
    </row>
    <row r="52" spans="1:41" x14ac:dyDescent="0.3">
      <c r="A52" s="25"/>
      <c r="B52" s="33" t="s">
        <v>120</v>
      </c>
      <c r="C52" s="21">
        <f>C51</f>
        <v>1</v>
      </c>
      <c r="D52" s="21">
        <f t="shared" si="156"/>
        <v>0</v>
      </c>
      <c r="E52" s="27">
        <f t="shared" si="157"/>
        <v>0</v>
      </c>
      <c r="F52" s="21">
        <f>F51</f>
        <v>1</v>
      </c>
      <c r="G52" s="21">
        <f>COUNTIFS('Data-TSD+1'!$AC:$AC,F$1,'Data-TSD+1'!$Q:$Q,"Satisfactory (80%)")</f>
        <v>0</v>
      </c>
      <c r="H52" s="27">
        <f t="shared" si="158"/>
        <v>0</v>
      </c>
      <c r="I52" s="21">
        <f>I51</f>
        <v>0</v>
      </c>
      <c r="J52" s="21">
        <f>COUNTIFS('Data-TSD+1'!$AC:$AC,I$1,'Data-TSD+1'!$Q:$Q,"Satisfactory (80%)")</f>
        <v>0</v>
      </c>
      <c r="K52" s="27" t="str">
        <f t="shared" si="159"/>
        <v/>
      </c>
      <c r="L52" s="21">
        <f>L51</f>
        <v>0</v>
      </c>
      <c r="M52" s="21">
        <f>COUNTIFS('Data-TSD+1'!$AC:$AC,L$1,'Data-TSD+1'!$Q:$Q,"Satisfactory (80%)")</f>
        <v>0</v>
      </c>
      <c r="N52" s="27" t="str">
        <f t="shared" si="160"/>
        <v/>
      </c>
      <c r="O52" s="21">
        <f>O51</f>
        <v>0</v>
      </c>
      <c r="P52" s="21">
        <f>COUNTIFS('Data-TSD+1'!$AC:$AC,O$1,'Data-TSD+1'!$Q:$Q,"Satisfactory (80%)")</f>
        <v>0</v>
      </c>
      <c r="Q52" s="27" t="str">
        <f t="shared" si="161"/>
        <v/>
      </c>
      <c r="R52" s="21">
        <f>R51</f>
        <v>0</v>
      </c>
      <c r="S52" s="21">
        <f>COUNTIFS('Data-TSD+1'!$AC:$AC,R$1,'Data-TSD+1'!$Q:$Q,"Satisfactory (80%)")</f>
        <v>0</v>
      </c>
      <c r="T52" s="27" t="str">
        <f t="shared" si="162"/>
        <v/>
      </c>
      <c r="U52" s="21">
        <f>U51</f>
        <v>0</v>
      </c>
      <c r="V52" s="21">
        <f>COUNTIFS('Data-TSD+1'!$AC:$AC,U$1,'Data-TSD+1'!$Q:$Q,"Satisfactory (80%)")</f>
        <v>0</v>
      </c>
      <c r="W52" s="27" t="str">
        <f t="shared" si="163"/>
        <v/>
      </c>
      <c r="X52" s="21">
        <f>X51</f>
        <v>0</v>
      </c>
      <c r="Y52" s="21">
        <f>COUNTIFS('Data-TSD+1'!$AC:$AC,X$1,'Data-TSD+1'!$Q:$Q,"Satisfactory (80%)")</f>
        <v>0</v>
      </c>
      <c r="Z52" s="27" t="str">
        <f t="shared" si="164"/>
        <v/>
      </c>
      <c r="AA52" s="21">
        <f>AA51</f>
        <v>0</v>
      </c>
      <c r="AB52" s="21">
        <f>COUNTIFS('Data-TSD+1'!$AC:$AC,AA$1,'Data-TSD+1'!$Q:$Q,"Satisfactory (80%)")</f>
        <v>0</v>
      </c>
      <c r="AC52" s="27" t="str">
        <f t="shared" si="165"/>
        <v/>
      </c>
      <c r="AD52" s="21">
        <f>AD51</f>
        <v>0</v>
      </c>
      <c r="AE52" s="21">
        <f>COUNTIFS('Data-TSD+1'!$AC:$AC,AD$1,'Data-TSD+1'!$Q:$Q,"Satisfactory (80%)")</f>
        <v>0</v>
      </c>
      <c r="AF52" s="27" t="str">
        <f t="shared" si="166"/>
        <v/>
      </c>
      <c r="AG52" s="21">
        <f>AG51</f>
        <v>0</v>
      </c>
      <c r="AH52" s="21">
        <f>COUNTIFS('Data-TSD+1'!$AC:$AC,AG$1,'Data-TSD+1'!$Q:$Q,"Satisfactory (80%)")</f>
        <v>0</v>
      </c>
      <c r="AI52" s="27" t="str">
        <f t="shared" si="167"/>
        <v/>
      </c>
      <c r="AJ52" s="21">
        <f>AJ51</f>
        <v>0</v>
      </c>
      <c r="AK52" s="21">
        <f>COUNTIFS('Data-TSD+1'!$AC:$AC,AJ$1,'Data-TSD+1'!$Q:$Q,"Satisfactory (80%)")</f>
        <v>0</v>
      </c>
      <c r="AL52" s="27" t="str">
        <f t="shared" si="168"/>
        <v/>
      </c>
      <c r="AM52" s="21">
        <f>AM51</f>
        <v>0</v>
      </c>
      <c r="AN52" s="21">
        <f>COUNTIFS('Data-TSD+1'!$AC:$AC,AM$1,'Data-TSD+1'!$Q:$Q,"Satisfactory (80%)")</f>
        <v>0</v>
      </c>
      <c r="AO52" s="27" t="str">
        <f t="shared" si="169"/>
        <v/>
      </c>
    </row>
    <row r="53" spans="1:41" x14ac:dyDescent="0.3">
      <c r="A53" s="25"/>
      <c r="B53" s="33" t="s">
        <v>121</v>
      </c>
      <c r="C53" s="21">
        <f t="shared" ref="C53:C55" si="170">C52</f>
        <v>1</v>
      </c>
      <c r="D53" s="21">
        <f t="shared" si="156"/>
        <v>0</v>
      </c>
      <c r="E53" s="27">
        <f t="shared" si="157"/>
        <v>0</v>
      </c>
      <c r="F53" s="21">
        <f>F52</f>
        <v>1</v>
      </c>
      <c r="G53" s="21">
        <f>COUNTIFS('Data-TSD+1'!$AC:$AC,F$1,'Data-TSD+1'!$Q:$Q,"Average (60%)")</f>
        <v>0</v>
      </c>
      <c r="H53" s="27">
        <f t="shared" si="158"/>
        <v>0</v>
      </c>
      <c r="I53" s="21">
        <f>I52</f>
        <v>0</v>
      </c>
      <c r="J53" s="21">
        <f>COUNTIFS('Data-TSD+1'!$AC:$AC,I$1,'Data-TSD+1'!$Q:$Q,"Average (60%)")</f>
        <v>0</v>
      </c>
      <c r="K53" s="27" t="str">
        <f t="shared" si="159"/>
        <v/>
      </c>
      <c r="L53" s="21">
        <f>L52</f>
        <v>0</v>
      </c>
      <c r="M53" s="21">
        <f>COUNTIFS('Data-TSD+1'!$AC:$AC,L$1,'Data-TSD+1'!$Q:$Q,"Average (60%)")</f>
        <v>0</v>
      </c>
      <c r="N53" s="27" t="str">
        <f t="shared" si="160"/>
        <v/>
      </c>
      <c r="O53" s="21">
        <f>O52</f>
        <v>0</v>
      </c>
      <c r="P53" s="21">
        <f>COUNTIFS('Data-TSD+1'!$AC:$AC,O$1,'Data-TSD+1'!$Q:$Q,"Average (60%)")</f>
        <v>0</v>
      </c>
      <c r="Q53" s="27" t="str">
        <f t="shared" si="161"/>
        <v/>
      </c>
      <c r="R53" s="21">
        <f>R52</f>
        <v>0</v>
      </c>
      <c r="S53" s="21">
        <f>COUNTIFS('Data-TSD+1'!$AC:$AC,R$1,'Data-TSD+1'!$Q:$Q,"Average (60%)")</f>
        <v>0</v>
      </c>
      <c r="T53" s="27" t="str">
        <f t="shared" si="162"/>
        <v/>
      </c>
      <c r="U53" s="21">
        <f>U52</f>
        <v>0</v>
      </c>
      <c r="V53" s="21">
        <f>COUNTIFS('Data-TSD+1'!$AC:$AC,U$1,'Data-TSD+1'!$Q:$Q,"Average (60%)")</f>
        <v>0</v>
      </c>
      <c r="W53" s="27" t="str">
        <f t="shared" si="163"/>
        <v/>
      </c>
      <c r="X53" s="21">
        <f>X52</f>
        <v>0</v>
      </c>
      <c r="Y53" s="21">
        <f>COUNTIFS('Data-TSD+1'!$AC:$AC,X$1,'Data-TSD+1'!$Q:$Q,"Average (60%)")</f>
        <v>0</v>
      </c>
      <c r="Z53" s="27" t="str">
        <f t="shared" si="164"/>
        <v/>
      </c>
      <c r="AA53" s="21">
        <f>AA52</f>
        <v>0</v>
      </c>
      <c r="AB53" s="21">
        <f>COUNTIFS('Data-TSD+1'!$AC:$AC,AA$1,'Data-TSD+1'!$Q:$Q,"Average (60%)")</f>
        <v>0</v>
      </c>
      <c r="AC53" s="27" t="str">
        <f t="shared" si="165"/>
        <v/>
      </c>
      <c r="AD53" s="21">
        <f>AD52</f>
        <v>0</v>
      </c>
      <c r="AE53" s="21">
        <f>COUNTIFS('Data-TSD+1'!$AC:$AC,AD$1,'Data-TSD+1'!$Q:$Q,"Average (60%)")</f>
        <v>0</v>
      </c>
      <c r="AF53" s="27" t="str">
        <f t="shared" si="166"/>
        <v/>
      </c>
      <c r="AG53" s="21">
        <f>AG52</f>
        <v>0</v>
      </c>
      <c r="AH53" s="21">
        <f>COUNTIFS('Data-TSD+1'!$AC:$AC,AG$1,'Data-TSD+1'!$Q:$Q,"Average (60%)")</f>
        <v>0</v>
      </c>
      <c r="AI53" s="27" t="str">
        <f t="shared" si="167"/>
        <v/>
      </c>
      <c r="AJ53" s="21">
        <f>AJ52</f>
        <v>0</v>
      </c>
      <c r="AK53" s="21">
        <f>COUNTIFS('Data-TSD+1'!$AC:$AC,AJ$1,'Data-TSD+1'!$Q:$Q,"Average (60%)")</f>
        <v>0</v>
      </c>
      <c r="AL53" s="27" t="str">
        <f t="shared" si="168"/>
        <v/>
      </c>
      <c r="AM53" s="21">
        <f>AM52</f>
        <v>0</v>
      </c>
      <c r="AN53" s="21">
        <f>COUNTIFS('Data-TSD+1'!$AC:$AC,AM$1,'Data-TSD+1'!$Q:$Q,"Average (60%)")</f>
        <v>0</v>
      </c>
      <c r="AO53" s="27" t="str">
        <f t="shared" si="169"/>
        <v/>
      </c>
    </row>
    <row r="54" spans="1:41" x14ac:dyDescent="0.3">
      <c r="A54" s="25"/>
      <c r="B54" s="33" t="s">
        <v>122</v>
      </c>
      <c r="C54" s="21">
        <f t="shared" si="170"/>
        <v>1</v>
      </c>
      <c r="D54" s="21">
        <f t="shared" si="156"/>
        <v>0</v>
      </c>
      <c r="E54" s="27">
        <f t="shared" si="157"/>
        <v>0</v>
      </c>
      <c r="F54" s="21">
        <f>F53</f>
        <v>1</v>
      </c>
      <c r="G54" s="21">
        <f>COUNTIFS('Data-TSD+1'!$AC:$AC,F$1,'Data-TSD+1'!$Q:$Q,"Unsatisfactory (40%)")</f>
        <v>0</v>
      </c>
      <c r="H54" s="27">
        <f t="shared" si="158"/>
        <v>0</v>
      </c>
      <c r="I54" s="21">
        <f>I53</f>
        <v>0</v>
      </c>
      <c r="J54" s="21">
        <f>COUNTIFS('Data-TSD+1'!$AC:$AC,I$1,'Data-TSD+1'!$Q:$Q,"Unsatisfactory (40%)")</f>
        <v>0</v>
      </c>
      <c r="K54" s="27" t="str">
        <f t="shared" si="159"/>
        <v/>
      </c>
      <c r="L54" s="21">
        <f>L53</f>
        <v>0</v>
      </c>
      <c r="M54" s="21">
        <f>COUNTIFS('Data-TSD+1'!$AC:$AC,L$1,'Data-TSD+1'!$Q:$Q,"Unsatisfactory (40%)")</f>
        <v>0</v>
      </c>
      <c r="N54" s="27" t="str">
        <f t="shared" si="160"/>
        <v/>
      </c>
      <c r="O54" s="21">
        <f>O53</f>
        <v>0</v>
      </c>
      <c r="P54" s="21">
        <f>COUNTIFS('Data-TSD+1'!$AC:$AC,O$1,'Data-TSD+1'!$Q:$Q,"Unsatisfactory (40%)")</f>
        <v>0</v>
      </c>
      <c r="Q54" s="27" t="str">
        <f t="shared" si="161"/>
        <v/>
      </c>
      <c r="R54" s="21">
        <f>R53</f>
        <v>0</v>
      </c>
      <c r="S54" s="21">
        <f>COUNTIFS('Data-TSD+1'!$AC:$AC,R$1,'Data-TSD+1'!$Q:$Q,"Unsatisfactory (40%)")</f>
        <v>0</v>
      </c>
      <c r="T54" s="27" t="str">
        <f t="shared" si="162"/>
        <v/>
      </c>
      <c r="U54" s="21">
        <f>U53</f>
        <v>0</v>
      </c>
      <c r="V54" s="21">
        <f>COUNTIFS('Data-TSD+1'!$AC:$AC,U$1,'Data-TSD+1'!$Q:$Q,"Unsatisfactory (40%)")</f>
        <v>0</v>
      </c>
      <c r="W54" s="27" t="str">
        <f t="shared" si="163"/>
        <v/>
      </c>
      <c r="X54" s="21">
        <f>X53</f>
        <v>0</v>
      </c>
      <c r="Y54" s="21">
        <f>COUNTIFS('Data-TSD+1'!$AC:$AC,X$1,'Data-TSD+1'!$Q:$Q,"Unsatisfactory (40%)")</f>
        <v>0</v>
      </c>
      <c r="Z54" s="27" t="str">
        <f t="shared" si="164"/>
        <v/>
      </c>
      <c r="AA54" s="21">
        <f>AA53</f>
        <v>0</v>
      </c>
      <c r="AB54" s="21">
        <f>COUNTIFS('Data-TSD+1'!$AC:$AC,AA$1,'Data-TSD+1'!$Q:$Q,"Unsatisfactory (40%)")</f>
        <v>0</v>
      </c>
      <c r="AC54" s="27" t="str">
        <f t="shared" si="165"/>
        <v/>
      </c>
      <c r="AD54" s="21">
        <f>AD53</f>
        <v>0</v>
      </c>
      <c r="AE54" s="21">
        <f>COUNTIFS('Data-TSD+1'!$AC:$AC,AD$1,'Data-TSD+1'!$Q:$Q,"Unsatisfactory (40%)")</f>
        <v>0</v>
      </c>
      <c r="AF54" s="27" t="str">
        <f t="shared" si="166"/>
        <v/>
      </c>
      <c r="AG54" s="21">
        <f>AG53</f>
        <v>0</v>
      </c>
      <c r="AH54" s="21">
        <f>COUNTIFS('Data-TSD+1'!$AC:$AC,AG$1,'Data-TSD+1'!$Q:$Q,"Unsatisfactory (40%)")</f>
        <v>0</v>
      </c>
      <c r="AI54" s="27" t="str">
        <f t="shared" si="167"/>
        <v/>
      </c>
      <c r="AJ54" s="21">
        <f>AJ53</f>
        <v>0</v>
      </c>
      <c r="AK54" s="21">
        <f>COUNTIFS('Data-TSD+1'!$AC:$AC,AJ$1,'Data-TSD+1'!$Q:$Q,"Unsatisfactory (40%)")</f>
        <v>0</v>
      </c>
      <c r="AL54" s="27" t="str">
        <f t="shared" si="168"/>
        <v/>
      </c>
      <c r="AM54" s="21">
        <f>AM53</f>
        <v>0</v>
      </c>
      <c r="AN54" s="21">
        <f>COUNTIFS('Data-TSD+1'!$AC:$AC,AM$1,'Data-TSD+1'!$Q:$Q,"Unsatisfactory (40%)")</f>
        <v>0</v>
      </c>
      <c r="AO54" s="27" t="str">
        <f t="shared" si="169"/>
        <v/>
      </c>
    </row>
    <row r="55" spans="1:41" x14ac:dyDescent="0.3">
      <c r="A55" s="25"/>
      <c r="B55" s="33" t="s">
        <v>123</v>
      </c>
      <c r="C55" s="21">
        <f t="shared" si="170"/>
        <v>1</v>
      </c>
      <c r="D55" s="21">
        <f t="shared" si="156"/>
        <v>0</v>
      </c>
      <c r="E55" s="27">
        <f t="shared" si="157"/>
        <v>0</v>
      </c>
      <c r="F55" s="21">
        <f>F54</f>
        <v>1</v>
      </c>
      <c r="G55" s="21">
        <f>COUNTIFS('Data-TSD+1'!$AC:$AC,F$1,'Data-TSD+1'!$Q:$Q,"Very unsatisfactory (20%)")</f>
        <v>0</v>
      </c>
      <c r="H55" s="27">
        <f t="shared" si="158"/>
        <v>0</v>
      </c>
      <c r="I55" s="21">
        <f>I54</f>
        <v>0</v>
      </c>
      <c r="J55" s="21">
        <f>COUNTIFS('Data-TSD+1'!$AC:$AC,I$1,'Data-TSD+1'!$Q:$Q,"Very unsatisfactory (20%)")</f>
        <v>0</v>
      </c>
      <c r="K55" s="27" t="str">
        <f t="shared" si="159"/>
        <v/>
      </c>
      <c r="L55" s="21">
        <f>L54</f>
        <v>0</v>
      </c>
      <c r="M55" s="21">
        <f>COUNTIFS('Data-TSD+1'!$AC:$AC,L$1,'Data-TSD+1'!$Q:$Q,"Very unsatisfactory (20%)")</f>
        <v>0</v>
      </c>
      <c r="N55" s="27" t="str">
        <f t="shared" si="160"/>
        <v/>
      </c>
      <c r="O55" s="21">
        <f>O54</f>
        <v>0</v>
      </c>
      <c r="P55" s="21">
        <f>COUNTIFS('Data-TSD+1'!$AC:$AC,O$1,'Data-TSD+1'!$Q:$Q,"Very unsatisfactory (20%)")</f>
        <v>0</v>
      </c>
      <c r="Q55" s="27" t="str">
        <f t="shared" si="161"/>
        <v/>
      </c>
      <c r="R55" s="21">
        <f>R54</f>
        <v>0</v>
      </c>
      <c r="S55" s="21">
        <f>COUNTIFS('Data-TSD+1'!$AC:$AC,R$1,'Data-TSD+1'!$Q:$Q,"Very unsatisfactory (20%)")</f>
        <v>0</v>
      </c>
      <c r="T55" s="27" t="str">
        <f t="shared" si="162"/>
        <v/>
      </c>
      <c r="U55" s="21">
        <f>U54</f>
        <v>0</v>
      </c>
      <c r="V55" s="21">
        <f>COUNTIFS('Data-TSD+1'!$AC:$AC,U$1,'Data-TSD+1'!$Q:$Q,"Very unsatisfactory (20%)")</f>
        <v>0</v>
      </c>
      <c r="W55" s="27" t="str">
        <f t="shared" si="163"/>
        <v/>
      </c>
      <c r="X55" s="21">
        <f>X54</f>
        <v>0</v>
      </c>
      <c r="Y55" s="21">
        <f>COUNTIFS('Data-TSD+1'!$AC:$AC,X$1,'Data-TSD+1'!$Q:$Q,"Very unsatisfactory (20%)")</f>
        <v>0</v>
      </c>
      <c r="Z55" s="27" t="str">
        <f t="shared" si="164"/>
        <v/>
      </c>
      <c r="AA55" s="21">
        <f>AA54</f>
        <v>0</v>
      </c>
      <c r="AB55" s="21">
        <f>COUNTIFS('Data-TSD+1'!$AC:$AC,AA$1,'Data-TSD+1'!$Q:$Q,"Very unsatisfactory (20%)")</f>
        <v>0</v>
      </c>
      <c r="AC55" s="27" t="str">
        <f t="shared" si="165"/>
        <v/>
      </c>
      <c r="AD55" s="21">
        <f>AD54</f>
        <v>0</v>
      </c>
      <c r="AE55" s="21">
        <f>COUNTIFS('Data-TSD+1'!$AC:$AC,AD$1,'Data-TSD+1'!$Q:$Q,"Very unsatisfactory (20%)")</f>
        <v>0</v>
      </c>
      <c r="AF55" s="27" t="str">
        <f t="shared" si="166"/>
        <v/>
      </c>
      <c r="AG55" s="21">
        <f>AG54</f>
        <v>0</v>
      </c>
      <c r="AH55" s="21">
        <f>COUNTIFS('Data-TSD+1'!$AC:$AC,AG$1,'Data-TSD+1'!$Q:$Q,"Very unsatisfactory (20%)")</f>
        <v>0</v>
      </c>
      <c r="AI55" s="27" t="str">
        <f t="shared" si="167"/>
        <v/>
      </c>
      <c r="AJ55" s="21">
        <f>AJ54</f>
        <v>0</v>
      </c>
      <c r="AK55" s="21">
        <f>COUNTIFS('Data-TSD+1'!$AC:$AC,AJ$1,'Data-TSD+1'!$Q:$Q,"Very unsatisfactory (20%)")</f>
        <v>0</v>
      </c>
      <c r="AL55" s="27" t="str">
        <f t="shared" si="168"/>
        <v/>
      </c>
      <c r="AM55" s="21">
        <f>AM54</f>
        <v>0</v>
      </c>
      <c r="AN55" s="21">
        <f>COUNTIFS('Data-TSD+1'!$AC:$AC,AM$1,'Data-TSD+1'!$Q:$Q,"Very unsatisfactory (20%)")</f>
        <v>0</v>
      </c>
      <c r="AO55" s="27" t="str">
        <f t="shared" si="169"/>
        <v/>
      </c>
    </row>
    <row r="56" spans="1:41" x14ac:dyDescent="0.3">
      <c r="A56" s="21">
        <v>10</v>
      </c>
      <c r="B56" s="29" t="s">
        <v>78</v>
      </c>
      <c r="C56" s="21"/>
      <c r="D56" s="21"/>
      <c r="E56" s="27"/>
      <c r="F56" s="21"/>
      <c r="G56" s="21"/>
      <c r="H56" s="27"/>
      <c r="I56" s="21"/>
      <c r="J56" s="21"/>
      <c r="K56" s="27"/>
      <c r="L56" s="21"/>
      <c r="M56" s="21"/>
      <c r="N56" s="27"/>
      <c r="O56" s="21"/>
      <c r="P56" s="21"/>
      <c r="Q56" s="27"/>
      <c r="R56" s="21"/>
      <c r="S56" s="21"/>
      <c r="T56" s="27"/>
      <c r="U56" s="21"/>
      <c r="V56" s="21"/>
      <c r="W56" s="27"/>
      <c r="X56" s="21"/>
      <c r="Y56" s="21"/>
      <c r="Z56" s="27"/>
      <c r="AA56" s="21"/>
      <c r="AB56" s="21"/>
      <c r="AC56" s="27"/>
      <c r="AD56" s="21"/>
      <c r="AE56" s="21"/>
      <c r="AF56" s="27"/>
      <c r="AG56" s="21"/>
      <c r="AH56" s="21"/>
      <c r="AI56" s="27"/>
      <c r="AJ56" s="21"/>
      <c r="AK56" s="21"/>
      <c r="AL56" s="27"/>
      <c r="AM56" s="21"/>
      <c r="AN56" s="21"/>
      <c r="AO56" s="27"/>
    </row>
    <row r="57" spans="1:41" x14ac:dyDescent="0.3">
      <c r="A57" s="25"/>
      <c r="B57" s="33" t="s">
        <v>119</v>
      </c>
      <c r="C57" s="21">
        <f>COUNTIF('Data-TSD+1'!$R:$R,"&lt;&gt;" &amp; "")-1</f>
        <v>1</v>
      </c>
      <c r="D57" s="21">
        <f t="shared" ref="D57:D61" si="171">G57+J57+M57+P57+S57+V57+Y57+AB57+AE57+AH57+AK57+AN57</f>
        <v>1</v>
      </c>
      <c r="E57" s="27">
        <f t="shared" ref="E57:E61" si="172">IF(C57 &lt;&gt; 0,D57/C57,"")</f>
        <v>1</v>
      </c>
      <c r="F57" s="21">
        <f>COUNTIFS('Data-TSD+1'!$AC:$AC,F$1,'Data-TSD+1'!$R:$R,"&lt;&gt;" &amp; "")</f>
        <v>1</v>
      </c>
      <c r="G57" s="21">
        <f>COUNTIFS('Data-TSD+1'!$AC:$AC,F$1,'Data-TSD+1'!$R:$R,"Very satisfactory (100%)")</f>
        <v>1</v>
      </c>
      <c r="H57" s="27">
        <f t="shared" ref="H57:H61" si="173">IF(F57 &lt;&gt; 0,G57/F57,"")</f>
        <v>1</v>
      </c>
      <c r="I57" s="21">
        <f>COUNTIFS('Data-TSD+1'!$AC:$AC,I$1,'Data-TSD+1'!$R:$R,"&lt;&gt;" &amp; "")</f>
        <v>0</v>
      </c>
      <c r="J57" s="21">
        <f>COUNTIFS('Data-TSD+1'!$AC:$AC,I$1,'Data-TSD+1'!$R:$R,"Very satisfactory (100%)")</f>
        <v>0</v>
      </c>
      <c r="K57" s="27" t="str">
        <f t="shared" ref="K57:K61" si="174">IF(I57 &lt;&gt; 0,J57/I57,"")</f>
        <v/>
      </c>
      <c r="L57" s="21">
        <f>COUNTIFS('Data-TSD+1'!$AC:$AC,L$1,'Data-TSD+1'!$R:$R,"&lt;&gt;" &amp; "")</f>
        <v>0</v>
      </c>
      <c r="M57" s="21">
        <f>COUNTIFS('Data-TSD+1'!$AC:$AC,L$1,'Data-TSD+1'!$R:$R,"Very satisfactory (100%)")</f>
        <v>0</v>
      </c>
      <c r="N57" s="27" t="str">
        <f t="shared" ref="N57:N61" si="175">IF(L57 &lt;&gt; 0,M57/L57,"")</f>
        <v/>
      </c>
      <c r="O57" s="21">
        <f>COUNTIFS('Data-TSD+1'!$AC:$AC,O$1,'Data-TSD+1'!$R:$R,"&lt;&gt;" &amp; "")</f>
        <v>0</v>
      </c>
      <c r="P57" s="21">
        <f>COUNTIFS('Data-TSD+1'!$AC:$AC,O$1,'Data-TSD+1'!$R:$R,"Very satisfactory (100%)")</f>
        <v>0</v>
      </c>
      <c r="Q57" s="27" t="str">
        <f t="shared" ref="Q57:Q61" si="176">IF(O57 &lt;&gt; 0,P57/O57,"")</f>
        <v/>
      </c>
      <c r="R57" s="21">
        <f>COUNTIFS('Data-TSD+1'!$AC:$AC,R$1,'Data-TSD+1'!$R:$R,"&lt;&gt;" &amp; "")</f>
        <v>0</v>
      </c>
      <c r="S57" s="21">
        <f>COUNTIFS('Data-TSD+1'!$AC:$AC,R$1,'Data-TSD+1'!$R:$R,"Very satisfactory (100%)")</f>
        <v>0</v>
      </c>
      <c r="T57" s="27" t="str">
        <f t="shared" ref="T57:T61" si="177">IF(R57 &lt;&gt; 0,S57/R57,"")</f>
        <v/>
      </c>
      <c r="U57" s="21">
        <f>COUNTIFS('Data-TSD+1'!$AC:$AC,U$1,'Data-TSD+1'!$R:$R,"&lt;&gt;" &amp; "")</f>
        <v>0</v>
      </c>
      <c r="V57" s="21">
        <f>COUNTIFS('Data-TSD+1'!$AC:$AC,U$1,'Data-TSD+1'!$R:$R,"Very satisfactory (100%)")</f>
        <v>0</v>
      </c>
      <c r="W57" s="27" t="str">
        <f t="shared" ref="W57:W61" si="178">IF(U57 &lt;&gt; 0,V57/U57,"")</f>
        <v/>
      </c>
      <c r="X57" s="21">
        <f>COUNTIFS('Data-TSD+1'!$AC:$AC,X$1,'Data-TSD+1'!$R:$R,"&lt;&gt;" &amp; "")</f>
        <v>0</v>
      </c>
      <c r="Y57" s="21">
        <f>COUNTIFS('Data-TSD+1'!$AC:$AC,X$1,'Data-TSD+1'!$R:$R,"Very satisfactory (100%)")</f>
        <v>0</v>
      </c>
      <c r="Z57" s="27" t="str">
        <f t="shared" ref="Z57:Z61" si="179">IF(X57 &lt;&gt; 0,Y57/X57,"")</f>
        <v/>
      </c>
      <c r="AA57" s="21">
        <f>COUNTIFS('Data-TSD+1'!$AC:$AC,AA$1,'Data-TSD+1'!$R:$R,"&lt;&gt;" &amp; "")</f>
        <v>0</v>
      </c>
      <c r="AB57" s="21">
        <f>COUNTIFS('Data-TSD+1'!$AC:$AC,AA$1,'Data-TSD+1'!$R:$R,"Very satisfactory (100%)")</f>
        <v>0</v>
      </c>
      <c r="AC57" s="27" t="str">
        <f t="shared" ref="AC57:AC61" si="180">IF(AA57 &lt;&gt; 0,AB57/AA57,"")</f>
        <v/>
      </c>
      <c r="AD57" s="21">
        <f>COUNTIFS('Data-TSD+1'!$AC:$AC,AD$1,'Data-TSD+1'!$R:$R,"&lt;&gt;" &amp; "")</f>
        <v>0</v>
      </c>
      <c r="AE57" s="21">
        <f>COUNTIFS('Data-TSD+1'!$AC:$AC,AD$1,'Data-TSD+1'!$R:$R,"Very satisfactory (100%)")</f>
        <v>0</v>
      </c>
      <c r="AF57" s="27" t="str">
        <f t="shared" ref="AF57:AF61" si="181">IF(AD57 &lt;&gt; 0,AE57/AD57,"")</f>
        <v/>
      </c>
      <c r="AG57" s="21">
        <f>COUNTIFS('Data-TSD+1'!$AC:$AC,AG$1,'Data-TSD+1'!$R:$R,"&lt;&gt;" &amp; "")</f>
        <v>0</v>
      </c>
      <c r="AH57" s="21">
        <f>COUNTIFS('Data-TSD+1'!$AC:$AC,AG$1,'Data-TSD+1'!$R:$R,"Very satisfactory (100%)")</f>
        <v>0</v>
      </c>
      <c r="AI57" s="27" t="str">
        <f t="shared" ref="AI57:AI61" si="182">IF(AG57 &lt;&gt; 0,AH57/AG57,"")</f>
        <v/>
      </c>
      <c r="AJ57" s="21">
        <f>COUNTIFS('Data-TSD+1'!$AC:$AC,AJ$1,'Data-TSD+1'!$R:$R,"&lt;&gt;" &amp; "")</f>
        <v>0</v>
      </c>
      <c r="AK57" s="21">
        <f>COUNTIFS('Data-TSD+1'!$AC:$AC,AJ$1,'Data-TSD+1'!$R:$R,"Very satisfactory (100%)")</f>
        <v>0</v>
      </c>
      <c r="AL57" s="27" t="str">
        <f t="shared" ref="AL57:AL61" si="183">IF(AJ57 &lt;&gt; 0,AK57/AJ57,"")</f>
        <v/>
      </c>
      <c r="AM57" s="21">
        <f>COUNTIFS('Data-TSD+1'!$AC:$AC,AM$1,'Data-TSD+1'!$R:$R,"&lt;&gt;" &amp; "")</f>
        <v>0</v>
      </c>
      <c r="AN57" s="21">
        <f>COUNTIFS('Data-TSD+1'!$AC:$AC,AM$1,'Data-TSD+1'!$R:$R,"Very satisfactory (100%)")</f>
        <v>0</v>
      </c>
      <c r="AO57" s="27" t="str">
        <f t="shared" ref="AO57:AO61" si="184">IF(AM57 &lt;&gt; 0,AN57/AM57,"")</f>
        <v/>
      </c>
    </row>
    <row r="58" spans="1:41" x14ac:dyDescent="0.3">
      <c r="A58" s="25"/>
      <c r="B58" s="33" t="s">
        <v>120</v>
      </c>
      <c r="C58" s="21">
        <f>C57</f>
        <v>1</v>
      </c>
      <c r="D58" s="21">
        <f t="shared" si="171"/>
        <v>0</v>
      </c>
      <c r="E58" s="27">
        <f t="shared" si="172"/>
        <v>0</v>
      </c>
      <c r="F58" s="21">
        <f>F57</f>
        <v>1</v>
      </c>
      <c r="G58" s="21">
        <f>COUNTIFS('Data-TSD+1'!$AC:$AC,F$1,'Data-TSD+1'!$R:$R,"Satisfactory (80%)")</f>
        <v>0</v>
      </c>
      <c r="H58" s="27">
        <f t="shared" si="173"/>
        <v>0</v>
      </c>
      <c r="I58" s="21">
        <f>I57</f>
        <v>0</v>
      </c>
      <c r="J58" s="21">
        <f>COUNTIFS('Data-TSD+1'!$AC:$AC,I$1,'Data-TSD+1'!$R:$R,"Satisfactory (80%)")</f>
        <v>0</v>
      </c>
      <c r="K58" s="27" t="str">
        <f t="shared" si="174"/>
        <v/>
      </c>
      <c r="L58" s="21">
        <f>L57</f>
        <v>0</v>
      </c>
      <c r="M58" s="21">
        <f>COUNTIFS('Data-TSD+1'!$AC:$AC,L$1,'Data-TSD+1'!$R:$R,"Satisfactory (80%)")</f>
        <v>0</v>
      </c>
      <c r="N58" s="27" t="str">
        <f t="shared" si="175"/>
        <v/>
      </c>
      <c r="O58" s="21">
        <f>O57</f>
        <v>0</v>
      </c>
      <c r="P58" s="21">
        <f>COUNTIFS('Data-TSD+1'!$AC:$AC,O$1,'Data-TSD+1'!$R:$R,"Satisfactory (80%)")</f>
        <v>0</v>
      </c>
      <c r="Q58" s="27" t="str">
        <f t="shared" si="176"/>
        <v/>
      </c>
      <c r="R58" s="21">
        <f>R57</f>
        <v>0</v>
      </c>
      <c r="S58" s="21">
        <f>COUNTIFS('Data-TSD+1'!$AC:$AC,R$1,'Data-TSD+1'!$R:$R,"Satisfactory (80%)")</f>
        <v>0</v>
      </c>
      <c r="T58" s="27" t="str">
        <f t="shared" si="177"/>
        <v/>
      </c>
      <c r="U58" s="21">
        <f>U57</f>
        <v>0</v>
      </c>
      <c r="V58" s="21">
        <f>COUNTIFS('Data-TSD+1'!$AC:$AC,U$1,'Data-TSD+1'!$R:$R,"Satisfactory (80%)")</f>
        <v>0</v>
      </c>
      <c r="W58" s="27" t="str">
        <f t="shared" si="178"/>
        <v/>
      </c>
      <c r="X58" s="21">
        <f>X57</f>
        <v>0</v>
      </c>
      <c r="Y58" s="21">
        <f>COUNTIFS('Data-TSD+1'!$AC:$AC,X$1,'Data-TSD+1'!$R:$R,"Satisfactory (80%)")</f>
        <v>0</v>
      </c>
      <c r="Z58" s="27" t="str">
        <f t="shared" si="179"/>
        <v/>
      </c>
      <c r="AA58" s="21">
        <f>AA57</f>
        <v>0</v>
      </c>
      <c r="AB58" s="21">
        <f>COUNTIFS('Data-TSD+1'!$AC:$AC,AA$1,'Data-TSD+1'!$R:$R,"Satisfactory (80%)")</f>
        <v>0</v>
      </c>
      <c r="AC58" s="27" t="str">
        <f t="shared" si="180"/>
        <v/>
      </c>
      <c r="AD58" s="21">
        <f>AD57</f>
        <v>0</v>
      </c>
      <c r="AE58" s="21">
        <f>COUNTIFS('Data-TSD+1'!$AC:$AC,AD$1,'Data-TSD+1'!$R:$R,"Satisfactory (80%)")</f>
        <v>0</v>
      </c>
      <c r="AF58" s="27" t="str">
        <f t="shared" si="181"/>
        <v/>
      </c>
      <c r="AG58" s="21">
        <f>AG57</f>
        <v>0</v>
      </c>
      <c r="AH58" s="21">
        <f>COUNTIFS('Data-TSD+1'!$AC:$AC,AG$1,'Data-TSD+1'!$R:$R,"Satisfactory (80%)")</f>
        <v>0</v>
      </c>
      <c r="AI58" s="27" t="str">
        <f t="shared" si="182"/>
        <v/>
      </c>
      <c r="AJ58" s="21">
        <f>AJ57</f>
        <v>0</v>
      </c>
      <c r="AK58" s="21">
        <f>COUNTIFS('Data-TSD+1'!$AC:$AC,AJ$1,'Data-TSD+1'!$R:$R,"Satisfactory (80%)")</f>
        <v>0</v>
      </c>
      <c r="AL58" s="27" t="str">
        <f t="shared" si="183"/>
        <v/>
      </c>
      <c r="AM58" s="21">
        <f>AM57</f>
        <v>0</v>
      </c>
      <c r="AN58" s="21">
        <f>COUNTIFS('Data-TSD+1'!$AC:$AC,AM$1,'Data-TSD+1'!$R:$R,"Satisfactory (80%)")</f>
        <v>0</v>
      </c>
      <c r="AO58" s="27" t="str">
        <f t="shared" si="184"/>
        <v/>
      </c>
    </row>
    <row r="59" spans="1:41" x14ac:dyDescent="0.3">
      <c r="A59" s="25"/>
      <c r="B59" s="33" t="s">
        <v>121</v>
      </c>
      <c r="C59" s="21">
        <f t="shared" ref="C59:C61" si="185">C58</f>
        <v>1</v>
      </c>
      <c r="D59" s="21">
        <f t="shared" si="171"/>
        <v>0</v>
      </c>
      <c r="E59" s="27">
        <f t="shared" si="172"/>
        <v>0</v>
      </c>
      <c r="F59" s="21">
        <f>F58</f>
        <v>1</v>
      </c>
      <c r="G59" s="21">
        <f>COUNTIFS('Data-TSD+1'!$AC:$AC,F$1,'Data-TSD+1'!$R:$R,"Average (60%)")</f>
        <v>0</v>
      </c>
      <c r="H59" s="27">
        <f t="shared" si="173"/>
        <v>0</v>
      </c>
      <c r="I59" s="21">
        <f>I58</f>
        <v>0</v>
      </c>
      <c r="J59" s="21">
        <f>COUNTIFS('Data-TSD+1'!$AC:$AC,I$1,'Data-TSD+1'!$R:$R,"Average (60%)")</f>
        <v>0</v>
      </c>
      <c r="K59" s="27" t="str">
        <f t="shared" si="174"/>
        <v/>
      </c>
      <c r="L59" s="21">
        <f>L58</f>
        <v>0</v>
      </c>
      <c r="M59" s="21">
        <f>COUNTIFS('Data-TSD+1'!$AC:$AC,L$1,'Data-TSD+1'!$R:$R,"Average (60%)")</f>
        <v>0</v>
      </c>
      <c r="N59" s="27" t="str">
        <f t="shared" si="175"/>
        <v/>
      </c>
      <c r="O59" s="21">
        <f>O58</f>
        <v>0</v>
      </c>
      <c r="P59" s="21">
        <f>COUNTIFS('Data-TSD+1'!$AC:$AC,O$1,'Data-TSD+1'!$R:$R,"Average (60%)")</f>
        <v>0</v>
      </c>
      <c r="Q59" s="27" t="str">
        <f t="shared" si="176"/>
        <v/>
      </c>
      <c r="R59" s="21">
        <f>R58</f>
        <v>0</v>
      </c>
      <c r="S59" s="21">
        <f>COUNTIFS('Data-TSD+1'!$AC:$AC,R$1,'Data-TSD+1'!$R:$R,"Average (60%)")</f>
        <v>0</v>
      </c>
      <c r="T59" s="27" t="str">
        <f t="shared" si="177"/>
        <v/>
      </c>
      <c r="U59" s="21">
        <f>U58</f>
        <v>0</v>
      </c>
      <c r="V59" s="21">
        <f>COUNTIFS('Data-TSD+1'!$AC:$AC,U$1,'Data-TSD+1'!$R:$R,"Average (60%)")</f>
        <v>0</v>
      </c>
      <c r="W59" s="27" t="str">
        <f t="shared" si="178"/>
        <v/>
      </c>
      <c r="X59" s="21">
        <f>X58</f>
        <v>0</v>
      </c>
      <c r="Y59" s="21">
        <f>COUNTIFS('Data-TSD+1'!$AC:$AC,X$1,'Data-TSD+1'!$R:$R,"Average (60%)")</f>
        <v>0</v>
      </c>
      <c r="Z59" s="27" t="str">
        <f t="shared" si="179"/>
        <v/>
      </c>
      <c r="AA59" s="21">
        <f>AA58</f>
        <v>0</v>
      </c>
      <c r="AB59" s="21">
        <f>COUNTIFS('Data-TSD+1'!$AC:$AC,AA$1,'Data-TSD+1'!$R:$R,"Average (60%)")</f>
        <v>0</v>
      </c>
      <c r="AC59" s="27" t="str">
        <f t="shared" si="180"/>
        <v/>
      </c>
      <c r="AD59" s="21">
        <f>AD58</f>
        <v>0</v>
      </c>
      <c r="AE59" s="21">
        <f>COUNTIFS('Data-TSD+1'!$AC:$AC,AD$1,'Data-TSD+1'!$R:$R,"Average (60%)")</f>
        <v>0</v>
      </c>
      <c r="AF59" s="27" t="str">
        <f t="shared" si="181"/>
        <v/>
      </c>
      <c r="AG59" s="21">
        <f>AG58</f>
        <v>0</v>
      </c>
      <c r="AH59" s="21">
        <f>COUNTIFS('Data-TSD+1'!$AC:$AC,AG$1,'Data-TSD+1'!$R:$R,"Average (60%)")</f>
        <v>0</v>
      </c>
      <c r="AI59" s="27" t="str">
        <f t="shared" si="182"/>
        <v/>
      </c>
      <c r="AJ59" s="21">
        <f>AJ58</f>
        <v>0</v>
      </c>
      <c r="AK59" s="21">
        <f>COUNTIFS('Data-TSD+1'!$AC:$AC,AJ$1,'Data-TSD+1'!$R:$R,"Average (60%)")</f>
        <v>0</v>
      </c>
      <c r="AL59" s="27" t="str">
        <f t="shared" si="183"/>
        <v/>
      </c>
      <c r="AM59" s="21">
        <f>AM58</f>
        <v>0</v>
      </c>
      <c r="AN59" s="21">
        <f>COUNTIFS('Data-TSD+1'!$AC:$AC,AM$1,'Data-TSD+1'!$R:$R,"Average (60%)")</f>
        <v>0</v>
      </c>
      <c r="AO59" s="27" t="str">
        <f t="shared" si="184"/>
        <v/>
      </c>
    </row>
    <row r="60" spans="1:41" x14ac:dyDescent="0.3">
      <c r="A60" s="25"/>
      <c r="B60" s="33" t="s">
        <v>122</v>
      </c>
      <c r="C60" s="21">
        <f t="shared" si="185"/>
        <v>1</v>
      </c>
      <c r="D60" s="21">
        <f t="shared" si="171"/>
        <v>0</v>
      </c>
      <c r="E60" s="27">
        <f t="shared" si="172"/>
        <v>0</v>
      </c>
      <c r="F60" s="21">
        <f>F59</f>
        <v>1</v>
      </c>
      <c r="G60" s="21">
        <f>COUNTIFS('Data-TSD+1'!$AC:$AC,F$1,'Data-TSD+1'!$R:$R,"Unsatisfactory (40%)")</f>
        <v>0</v>
      </c>
      <c r="H60" s="27">
        <f t="shared" si="173"/>
        <v>0</v>
      </c>
      <c r="I60" s="21">
        <f>I59</f>
        <v>0</v>
      </c>
      <c r="J60" s="21">
        <f>COUNTIFS('Data-TSD+1'!$AC:$AC,I$1,'Data-TSD+1'!$R:$R,"Unsatisfactory (40%)")</f>
        <v>0</v>
      </c>
      <c r="K60" s="27" t="str">
        <f t="shared" si="174"/>
        <v/>
      </c>
      <c r="L60" s="21">
        <f>L59</f>
        <v>0</v>
      </c>
      <c r="M60" s="21">
        <f>COUNTIFS('Data-TSD+1'!$AC:$AC,L$1,'Data-TSD+1'!$R:$R,"Unsatisfactory (40%)")</f>
        <v>0</v>
      </c>
      <c r="N60" s="27" t="str">
        <f t="shared" si="175"/>
        <v/>
      </c>
      <c r="O60" s="21">
        <f>O59</f>
        <v>0</v>
      </c>
      <c r="P60" s="21">
        <f>COUNTIFS('Data-TSD+1'!$AC:$AC,O$1,'Data-TSD+1'!$R:$R,"Unsatisfactory (40%)")</f>
        <v>0</v>
      </c>
      <c r="Q60" s="27" t="str">
        <f t="shared" si="176"/>
        <v/>
      </c>
      <c r="R60" s="21">
        <f>R59</f>
        <v>0</v>
      </c>
      <c r="S60" s="21">
        <f>COUNTIFS('Data-TSD+1'!$AC:$AC,R$1,'Data-TSD+1'!$R:$R,"Unsatisfactory (40%)")</f>
        <v>0</v>
      </c>
      <c r="T60" s="27" t="str">
        <f t="shared" si="177"/>
        <v/>
      </c>
      <c r="U60" s="21">
        <f>U59</f>
        <v>0</v>
      </c>
      <c r="V60" s="21">
        <f>COUNTIFS('Data-TSD+1'!$AC:$AC,U$1,'Data-TSD+1'!$R:$R,"Unsatisfactory (40%)")</f>
        <v>0</v>
      </c>
      <c r="W60" s="27" t="str">
        <f t="shared" si="178"/>
        <v/>
      </c>
      <c r="X60" s="21">
        <f>X59</f>
        <v>0</v>
      </c>
      <c r="Y60" s="21">
        <f>COUNTIFS('Data-TSD+1'!$AC:$AC,X$1,'Data-TSD+1'!$R:$R,"Unsatisfactory (40%)")</f>
        <v>0</v>
      </c>
      <c r="Z60" s="27" t="str">
        <f t="shared" si="179"/>
        <v/>
      </c>
      <c r="AA60" s="21">
        <f>AA59</f>
        <v>0</v>
      </c>
      <c r="AB60" s="21">
        <f>COUNTIFS('Data-TSD+1'!$AC:$AC,AA$1,'Data-TSD+1'!$R:$R,"Unsatisfactory (40%)")</f>
        <v>0</v>
      </c>
      <c r="AC60" s="27" t="str">
        <f t="shared" si="180"/>
        <v/>
      </c>
      <c r="AD60" s="21">
        <f>AD59</f>
        <v>0</v>
      </c>
      <c r="AE60" s="21">
        <f>COUNTIFS('Data-TSD+1'!$AC:$AC,AD$1,'Data-TSD+1'!$R:$R,"Unsatisfactory (40%)")</f>
        <v>0</v>
      </c>
      <c r="AF60" s="27" t="str">
        <f t="shared" si="181"/>
        <v/>
      </c>
      <c r="AG60" s="21">
        <f>AG59</f>
        <v>0</v>
      </c>
      <c r="AH60" s="21">
        <f>COUNTIFS('Data-TSD+1'!$AC:$AC,AG$1,'Data-TSD+1'!$R:$R,"Unsatisfactory (40%)")</f>
        <v>0</v>
      </c>
      <c r="AI60" s="27" t="str">
        <f t="shared" si="182"/>
        <v/>
      </c>
      <c r="AJ60" s="21">
        <f>AJ59</f>
        <v>0</v>
      </c>
      <c r="AK60" s="21">
        <f>COUNTIFS('Data-TSD+1'!$AC:$AC,AJ$1,'Data-TSD+1'!$R:$R,"Unsatisfactory (40%)")</f>
        <v>0</v>
      </c>
      <c r="AL60" s="27" t="str">
        <f t="shared" si="183"/>
        <v/>
      </c>
      <c r="AM60" s="21">
        <f>AM59</f>
        <v>0</v>
      </c>
      <c r="AN60" s="21">
        <f>COUNTIFS('Data-TSD+1'!$AC:$AC,AM$1,'Data-TSD+1'!$R:$R,"Unsatisfactory (40%)")</f>
        <v>0</v>
      </c>
      <c r="AO60" s="27" t="str">
        <f t="shared" si="184"/>
        <v/>
      </c>
    </row>
    <row r="61" spans="1:41" x14ac:dyDescent="0.3">
      <c r="A61" s="25"/>
      <c r="B61" s="33" t="s">
        <v>123</v>
      </c>
      <c r="C61" s="21">
        <f t="shared" si="185"/>
        <v>1</v>
      </c>
      <c r="D61" s="21">
        <f t="shared" si="171"/>
        <v>0</v>
      </c>
      <c r="E61" s="27">
        <f t="shared" si="172"/>
        <v>0</v>
      </c>
      <c r="F61" s="21">
        <f>F60</f>
        <v>1</v>
      </c>
      <c r="G61" s="21">
        <f>COUNTIFS('Data-TSD+1'!$AC:$AC,F$1,'Data-TSD+1'!$R:$R,"Very unsatisfactory (20%)")</f>
        <v>0</v>
      </c>
      <c r="H61" s="27">
        <f t="shared" si="173"/>
        <v>0</v>
      </c>
      <c r="I61" s="21">
        <f>I60</f>
        <v>0</v>
      </c>
      <c r="J61" s="21">
        <f>COUNTIFS('Data-TSD+1'!$AC:$AC,I$1,'Data-TSD+1'!$R:$R,"Very unsatisfactory (20%)")</f>
        <v>0</v>
      </c>
      <c r="K61" s="27" t="str">
        <f t="shared" si="174"/>
        <v/>
      </c>
      <c r="L61" s="21">
        <f>L60</f>
        <v>0</v>
      </c>
      <c r="M61" s="21">
        <f>COUNTIFS('Data-TSD+1'!$AC:$AC,L$1,'Data-TSD+1'!$R:$R,"Very unsatisfactory (20%)")</f>
        <v>0</v>
      </c>
      <c r="N61" s="27" t="str">
        <f t="shared" si="175"/>
        <v/>
      </c>
      <c r="O61" s="21">
        <f>O60</f>
        <v>0</v>
      </c>
      <c r="P61" s="21">
        <f>COUNTIFS('Data-TSD+1'!$AC:$AC,O$1,'Data-TSD+1'!$R:$R,"Very unsatisfactory (20%)")</f>
        <v>0</v>
      </c>
      <c r="Q61" s="27" t="str">
        <f t="shared" si="176"/>
        <v/>
      </c>
      <c r="R61" s="21">
        <f>R60</f>
        <v>0</v>
      </c>
      <c r="S61" s="21">
        <f>COUNTIFS('Data-TSD+1'!$AC:$AC,R$1,'Data-TSD+1'!$R:$R,"Very unsatisfactory (20%)")</f>
        <v>0</v>
      </c>
      <c r="T61" s="27" t="str">
        <f t="shared" si="177"/>
        <v/>
      </c>
      <c r="U61" s="21">
        <f>U60</f>
        <v>0</v>
      </c>
      <c r="V61" s="21">
        <f>COUNTIFS('Data-TSD+1'!$AC:$AC,U$1,'Data-TSD+1'!$R:$R,"Very unsatisfactory (20%)")</f>
        <v>0</v>
      </c>
      <c r="W61" s="27" t="str">
        <f t="shared" si="178"/>
        <v/>
      </c>
      <c r="X61" s="21">
        <f>X60</f>
        <v>0</v>
      </c>
      <c r="Y61" s="21">
        <f>COUNTIFS('Data-TSD+1'!$AC:$AC,X$1,'Data-TSD+1'!$R:$R,"Very unsatisfactory (20%)")</f>
        <v>0</v>
      </c>
      <c r="Z61" s="27" t="str">
        <f t="shared" si="179"/>
        <v/>
      </c>
      <c r="AA61" s="21">
        <f>AA60</f>
        <v>0</v>
      </c>
      <c r="AB61" s="21">
        <f>COUNTIFS('Data-TSD+1'!$AC:$AC,AA$1,'Data-TSD+1'!$R:$R,"Very unsatisfactory (20%)")</f>
        <v>0</v>
      </c>
      <c r="AC61" s="27" t="str">
        <f t="shared" si="180"/>
        <v/>
      </c>
      <c r="AD61" s="21">
        <f>AD60</f>
        <v>0</v>
      </c>
      <c r="AE61" s="21">
        <f>COUNTIFS('Data-TSD+1'!$AC:$AC,AD$1,'Data-TSD+1'!$R:$R,"Very unsatisfactory (20%)")</f>
        <v>0</v>
      </c>
      <c r="AF61" s="27" t="str">
        <f t="shared" si="181"/>
        <v/>
      </c>
      <c r="AG61" s="21">
        <f>AG60</f>
        <v>0</v>
      </c>
      <c r="AH61" s="21">
        <f>COUNTIFS('Data-TSD+1'!$AC:$AC,AG$1,'Data-TSD+1'!$R:$R,"Very unsatisfactory (20%)")</f>
        <v>0</v>
      </c>
      <c r="AI61" s="27" t="str">
        <f t="shared" si="182"/>
        <v/>
      </c>
      <c r="AJ61" s="21">
        <f>AJ60</f>
        <v>0</v>
      </c>
      <c r="AK61" s="21">
        <f>COUNTIFS('Data-TSD+1'!$AC:$AC,AJ$1,'Data-TSD+1'!$R:$R,"Very unsatisfactory (20%)")</f>
        <v>0</v>
      </c>
      <c r="AL61" s="27" t="str">
        <f t="shared" si="183"/>
        <v/>
      </c>
      <c r="AM61" s="21">
        <f>AM60</f>
        <v>0</v>
      </c>
      <c r="AN61" s="21">
        <f>COUNTIFS('Data-TSD+1'!$AC:$AC,AM$1,'Data-TSD+1'!$R:$R,"Very unsatisfactory (20%)")</f>
        <v>0</v>
      </c>
      <c r="AO61" s="27" t="str">
        <f t="shared" si="184"/>
        <v/>
      </c>
    </row>
    <row r="62" spans="1:41" x14ac:dyDescent="0.3">
      <c r="A62" s="21">
        <v>11</v>
      </c>
      <c r="B62" s="22" t="s">
        <v>79</v>
      </c>
      <c r="C62" s="23"/>
      <c r="D62" s="21"/>
      <c r="E62" s="24"/>
      <c r="F62" s="23"/>
      <c r="G62" s="23"/>
      <c r="H62" s="24"/>
      <c r="I62" s="23"/>
      <c r="J62" s="23"/>
      <c r="K62" s="24"/>
      <c r="L62" s="23"/>
      <c r="M62" s="23"/>
      <c r="N62" s="24"/>
      <c r="O62" s="23"/>
      <c r="P62" s="23"/>
      <c r="Q62" s="24"/>
      <c r="R62" s="23"/>
      <c r="S62" s="23"/>
      <c r="T62" s="24"/>
      <c r="U62" s="23"/>
      <c r="V62" s="23"/>
      <c r="W62" s="24"/>
      <c r="X62" s="23"/>
      <c r="Y62" s="23"/>
      <c r="Z62" s="24"/>
      <c r="AA62" s="23"/>
      <c r="AB62" s="23"/>
      <c r="AC62" s="24"/>
      <c r="AD62" s="23"/>
      <c r="AE62" s="23"/>
      <c r="AF62" s="24"/>
      <c r="AG62" s="23"/>
      <c r="AH62" s="23"/>
      <c r="AI62" s="24"/>
      <c r="AJ62" s="23"/>
      <c r="AK62" s="23"/>
      <c r="AL62" s="24"/>
      <c r="AM62" s="23"/>
      <c r="AN62" s="23"/>
      <c r="AO62" s="24"/>
    </row>
    <row r="63" spans="1:41" x14ac:dyDescent="0.3">
      <c r="A63" s="25"/>
      <c r="B63" s="33" t="s">
        <v>119</v>
      </c>
      <c r="C63" s="21">
        <f>COUNTIF('Data-TED-1'!$G:$G,"&lt;&gt;" &amp; "")-1</f>
        <v>1</v>
      </c>
      <c r="D63" s="21">
        <f t="shared" ref="D63:D67" si="186">G63+J63+M63+P63+S63+V63+Y63+AB63+AE63+AH63+AK63+AN63</f>
        <v>0</v>
      </c>
      <c r="E63" s="27">
        <f t="shared" ref="E63:E126" si="187">IF(C63 &lt;&gt; 0,D63/C63,"")</f>
        <v>0</v>
      </c>
      <c r="F63" s="21">
        <f>COUNTIFS('Data-TED-1'!$AH:$AH,F$1,'Data-TED-1'!$G:$G,"&lt;&gt;" &amp; "")</f>
        <v>0</v>
      </c>
      <c r="G63" s="21">
        <f>COUNTIFS('Data-TED-1'!$AH:$AH,F$1,'Data-TED-1'!$G:$G,"Very satisfactory (100%)")</f>
        <v>0</v>
      </c>
      <c r="H63" s="27" t="str">
        <f t="shared" ref="H63:H126" si="188">IF(F63 &lt;&gt; 0,G63/F63,"")</f>
        <v/>
      </c>
      <c r="I63" s="21">
        <f>COUNTIFS('Data-TED-1'!$AH:$AH,I$1,'Data-TED-1'!$G:$G,"&lt;&gt;" &amp; "")</f>
        <v>0</v>
      </c>
      <c r="J63" s="21">
        <f>COUNTIFS('Data-TED-1'!$AH:$AH,I$1,'Data-TED-1'!$G:$G,"Very satisfactory (100%)")</f>
        <v>0</v>
      </c>
      <c r="K63" s="27" t="str">
        <f t="shared" ref="K63:K67" si="189">IF(I63 &lt;&gt; 0,J63/I63,"")</f>
        <v/>
      </c>
      <c r="L63" s="21">
        <f>COUNTIFS('Data-TED-1'!$AH:$AH,L$1,'Data-TED-1'!$G:$G,"&lt;&gt;" &amp; "")</f>
        <v>0</v>
      </c>
      <c r="M63" s="21">
        <f>COUNTIFS('Data-TED-1'!$AH:$AH,L$1,'Data-TED-1'!$G:$G,"Very satisfactory (100%)")</f>
        <v>0</v>
      </c>
      <c r="N63" s="27" t="str">
        <f t="shared" ref="N63:N67" si="190">IF(L63 &lt;&gt; 0,M63/L63,"")</f>
        <v/>
      </c>
      <c r="O63" s="21">
        <f>COUNTIFS('Data-TED-1'!$AH:$AH,O$1,'Data-TED-1'!$G:$G,"&lt;&gt;" &amp; "")</f>
        <v>0</v>
      </c>
      <c r="P63" s="21">
        <f>COUNTIFS('Data-TED-1'!$AH:$AH,O$1,'Data-TED-1'!$G:$G,"Very satisfactory (100%)")</f>
        <v>0</v>
      </c>
      <c r="Q63" s="27" t="str">
        <f t="shared" ref="Q63:Q67" si="191">IF(O63 &lt;&gt; 0,P63/O63,"")</f>
        <v/>
      </c>
      <c r="R63" s="21">
        <f>COUNTIFS('Data-TED-1'!$AH:$AH,R$1,'Data-TED-1'!$G:$G,"&lt;&gt;" &amp; "")</f>
        <v>0</v>
      </c>
      <c r="S63" s="21">
        <f>COUNTIFS('Data-TED-1'!$AH:$AH,R$1,'Data-TED-1'!$G:$G,"Very satisfactory (100%)")</f>
        <v>0</v>
      </c>
      <c r="T63" s="27" t="str">
        <f t="shared" ref="T63:T67" si="192">IF(R63 &lt;&gt; 0,S63/R63,"")</f>
        <v/>
      </c>
      <c r="U63" s="21">
        <f>COUNTIFS('Data-TED-1'!$AH:$AH,U$1,'Data-TED-1'!$G:$G,"&lt;&gt;" &amp; "")</f>
        <v>0</v>
      </c>
      <c r="V63" s="21">
        <f>COUNTIFS('Data-TED-1'!$AH:$AH,U$1,'Data-TED-1'!$G:$G,"Very satisfactory (100%)")</f>
        <v>0</v>
      </c>
      <c r="W63" s="27" t="str">
        <f t="shared" ref="W63:W67" si="193">IF(U63 &lt;&gt; 0,V63/U63,"")</f>
        <v/>
      </c>
      <c r="X63" s="21">
        <f>COUNTIFS('Data-TED-1'!$AH:$AH,X$1,'Data-TED-1'!$G:$G,"&lt;&gt;" &amp; "")</f>
        <v>0</v>
      </c>
      <c r="Y63" s="21">
        <f>COUNTIFS('Data-TED-1'!$AH:$AH,X$1,'Data-TED-1'!$G:$G,"Very satisfactory (100%)")</f>
        <v>0</v>
      </c>
      <c r="Z63" s="27" t="str">
        <f t="shared" ref="Z63:Z67" si="194">IF(X63 &lt;&gt; 0,Y63/X63,"")</f>
        <v/>
      </c>
      <c r="AA63" s="21">
        <f>COUNTIFS('Data-TED-1'!$AH:$AH,AA$1,'Data-TED-1'!$G:$G,"&lt;&gt;" &amp; "")</f>
        <v>0</v>
      </c>
      <c r="AB63" s="21">
        <f>COUNTIFS('Data-TED-1'!$AH:$AH,AA$1,'Data-TED-1'!$G:$G,"Very satisfactory (100%)")</f>
        <v>0</v>
      </c>
      <c r="AC63" s="27" t="str">
        <f t="shared" ref="AC63:AC67" si="195">IF(AA63 &lt;&gt; 0,AB63/AA63,"")</f>
        <v/>
      </c>
      <c r="AD63" s="21">
        <f>COUNTIFS('Data-TED-1'!$AH:$AH,AD$1,'Data-TED-1'!$G:$G,"&lt;&gt;" &amp; "")</f>
        <v>1</v>
      </c>
      <c r="AE63" s="21">
        <f>COUNTIFS('Data-TED-1'!$AH:$AH,AD$1,'Data-TED-1'!$G:$G,"Very satisfactory (100%)")</f>
        <v>0</v>
      </c>
      <c r="AF63" s="27">
        <f t="shared" ref="AF63:AF67" si="196">IF(AD63 &lt;&gt; 0,AE63/AD63,"")</f>
        <v>0</v>
      </c>
      <c r="AG63" s="21">
        <f>COUNTIFS('Data-TED-1'!$AH:$AH,AG$1,'Data-TED-1'!$G:$G,"&lt;&gt;" &amp; "")</f>
        <v>0</v>
      </c>
      <c r="AH63" s="21">
        <f>COUNTIFS('Data-TED-1'!$AH:$AH,AG$1,'Data-TED-1'!$G:$G,"Very satisfactory (100%)")</f>
        <v>0</v>
      </c>
      <c r="AI63" s="27" t="str">
        <f t="shared" ref="AI63:AI67" si="197">IF(AG63 &lt;&gt; 0,AH63/AG63,"")</f>
        <v/>
      </c>
      <c r="AJ63" s="21">
        <f>COUNTIFS('Data-TED-1'!$AH:$AH,AJ$1,'Data-TED-1'!$G:$G,"&lt;&gt;" &amp; "")</f>
        <v>0</v>
      </c>
      <c r="AK63" s="21">
        <f>COUNTIFS('Data-TED-1'!$AH:$AH,AJ$1,'Data-TED-1'!$G:$G,"Very satisfactory (100%)")</f>
        <v>0</v>
      </c>
      <c r="AL63" s="27" t="str">
        <f t="shared" ref="AL63:AL67" si="198">IF(AJ63 &lt;&gt; 0,AK63/AJ63,"")</f>
        <v/>
      </c>
      <c r="AM63" s="21">
        <f>COUNTIFS('Data-TED-1'!$AH:$AH,AM$1,'Data-TED-1'!$G:$G,"&lt;&gt;" &amp; "")</f>
        <v>0</v>
      </c>
      <c r="AN63" s="21">
        <f>COUNTIFS('Data-TED-1'!$AH:$AH,AM$1,'Data-TED-1'!$G:$G,"Very satisfactory (100%)")</f>
        <v>0</v>
      </c>
      <c r="AO63" s="27" t="str">
        <f t="shared" ref="AO63:AO67" si="199">IF(AM63 &lt;&gt; 0,AN63/AM63,"")</f>
        <v/>
      </c>
    </row>
    <row r="64" spans="1:41" x14ac:dyDescent="0.3">
      <c r="A64" s="25"/>
      <c r="B64" s="33" t="s">
        <v>120</v>
      </c>
      <c r="C64" s="21">
        <f>C63</f>
        <v>1</v>
      </c>
      <c r="D64" s="21">
        <f t="shared" si="186"/>
        <v>1</v>
      </c>
      <c r="E64" s="27">
        <f t="shared" si="187"/>
        <v>1</v>
      </c>
      <c r="F64" s="21">
        <f>F63</f>
        <v>0</v>
      </c>
      <c r="G64" s="21">
        <f>COUNTIFS('Data-TED-1'!$AH:$AH,F$1,'Data-TED-1'!$G:$G,"Satisfactory (80%)")</f>
        <v>0</v>
      </c>
      <c r="H64" s="27" t="str">
        <f t="shared" si="188"/>
        <v/>
      </c>
      <c r="I64" s="21">
        <f>I63</f>
        <v>0</v>
      </c>
      <c r="J64" s="21">
        <f>COUNTIFS('Data-TED-1'!$AH:$AH,I$1,'Data-TED-1'!$G:$G,"Satisfactory (80%)")</f>
        <v>0</v>
      </c>
      <c r="K64" s="27" t="str">
        <f t="shared" si="189"/>
        <v/>
      </c>
      <c r="L64" s="21">
        <f>L63</f>
        <v>0</v>
      </c>
      <c r="M64" s="21">
        <f>COUNTIFS('Data-TED-1'!$AH:$AH,L$1,'Data-TED-1'!$G:$G,"Satisfactory (80%)")</f>
        <v>0</v>
      </c>
      <c r="N64" s="27" t="str">
        <f t="shared" si="190"/>
        <v/>
      </c>
      <c r="O64" s="21">
        <f>O63</f>
        <v>0</v>
      </c>
      <c r="P64" s="21">
        <f>COUNTIFS('Data-TED-1'!$AH:$AH,O$1,'Data-TED-1'!$G:$G,"Satisfactory (80%)")</f>
        <v>0</v>
      </c>
      <c r="Q64" s="27" t="str">
        <f t="shared" si="191"/>
        <v/>
      </c>
      <c r="R64" s="21">
        <f>R63</f>
        <v>0</v>
      </c>
      <c r="S64" s="21">
        <f>COUNTIFS('Data-TED-1'!$AH:$AH,R$1,'Data-TED-1'!$G:$G,"Satisfactory (80%)")</f>
        <v>0</v>
      </c>
      <c r="T64" s="27" t="str">
        <f t="shared" si="192"/>
        <v/>
      </c>
      <c r="U64" s="21">
        <f>U63</f>
        <v>0</v>
      </c>
      <c r="V64" s="21">
        <f>COUNTIFS('Data-TED-1'!$AH:$AH,U$1,'Data-TED-1'!$G:$G,"Satisfactory (80%)")</f>
        <v>0</v>
      </c>
      <c r="W64" s="27" t="str">
        <f t="shared" si="193"/>
        <v/>
      </c>
      <c r="X64" s="21">
        <f>X63</f>
        <v>0</v>
      </c>
      <c r="Y64" s="21">
        <f>COUNTIFS('Data-TED-1'!$AH:$AH,X$1,'Data-TED-1'!$G:$G,"Satisfactory (80%)")</f>
        <v>0</v>
      </c>
      <c r="Z64" s="27" t="str">
        <f t="shared" si="194"/>
        <v/>
      </c>
      <c r="AA64" s="21">
        <f>AA63</f>
        <v>0</v>
      </c>
      <c r="AB64" s="21">
        <f>COUNTIFS('Data-TED-1'!$AH:$AH,AA$1,'Data-TED-1'!$G:$G,"Satisfactory (80%)")</f>
        <v>0</v>
      </c>
      <c r="AC64" s="27" t="str">
        <f t="shared" si="195"/>
        <v/>
      </c>
      <c r="AD64" s="21">
        <f>AD63</f>
        <v>1</v>
      </c>
      <c r="AE64" s="21">
        <f>COUNTIFS('Data-TED-1'!$AH:$AH,AD$1,'Data-TED-1'!$G:$G,"Satisfactory (80%)")</f>
        <v>1</v>
      </c>
      <c r="AF64" s="27">
        <f t="shared" si="196"/>
        <v>1</v>
      </c>
      <c r="AG64" s="21">
        <f>AG63</f>
        <v>0</v>
      </c>
      <c r="AH64" s="21">
        <f>COUNTIFS('Data-TED-1'!$AH:$AH,AG$1,'Data-TED-1'!$G:$G,"Satisfactory (80%)")</f>
        <v>0</v>
      </c>
      <c r="AI64" s="27" t="str">
        <f t="shared" si="197"/>
        <v/>
      </c>
      <c r="AJ64" s="21">
        <f>AJ63</f>
        <v>0</v>
      </c>
      <c r="AK64" s="21">
        <f>COUNTIFS('Data-TED-1'!$AH:$AH,AJ$1,'Data-TED-1'!$G:$G,"Satisfactory (80%)")</f>
        <v>0</v>
      </c>
      <c r="AL64" s="27" t="str">
        <f t="shared" si="198"/>
        <v/>
      </c>
      <c r="AM64" s="21">
        <f>AM63</f>
        <v>0</v>
      </c>
      <c r="AN64" s="21">
        <f>COUNTIFS('Data-TED-1'!$AH:$AH,AM$1,'Data-TED-1'!$G:$G,"Satisfactory (80%)")</f>
        <v>0</v>
      </c>
      <c r="AO64" s="27" t="str">
        <f t="shared" si="199"/>
        <v/>
      </c>
    </row>
    <row r="65" spans="1:41" x14ac:dyDescent="0.3">
      <c r="A65" s="25"/>
      <c r="B65" s="33" t="s">
        <v>121</v>
      </c>
      <c r="C65" s="21">
        <f t="shared" ref="C65:C67" si="200">C64</f>
        <v>1</v>
      </c>
      <c r="D65" s="21">
        <f t="shared" si="186"/>
        <v>0</v>
      </c>
      <c r="E65" s="27">
        <f t="shared" si="187"/>
        <v>0</v>
      </c>
      <c r="F65" s="21">
        <f t="shared" ref="F65:F67" si="201">F64</f>
        <v>0</v>
      </c>
      <c r="G65" s="21">
        <f>COUNTIFS('Data-TED-1'!$AH:$AH,F$1,'Data-TED-1'!$G:$G,"Average (60%)")</f>
        <v>0</v>
      </c>
      <c r="H65" s="27" t="str">
        <f t="shared" si="188"/>
        <v/>
      </c>
      <c r="I65" s="21">
        <f t="shared" ref="I65:I67" si="202">I64</f>
        <v>0</v>
      </c>
      <c r="J65" s="21">
        <f>COUNTIFS('Data-TED-1'!$AH:$AH,I$1,'Data-TED-1'!$G:$G,"Average (60%)")</f>
        <v>0</v>
      </c>
      <c r="K65" s="27" t="str">
        <f t="shared" si="189"/>
        <v/>
      </c>
      <c r="L65" s="21">
        <f t="shared" ref="L65:L67" si="203">L64</f>
        <v>0</v>
      </c>
      <c r="M65" s="21">
        <f>COUNTIFS('Data-TED-1'!$AH:$AH,L$1,'Data-TED-1'!$G:$G,"Average (60%)")</f>
        <v>0</v>
      </c>
      <c r="N65" s="27" t="str">
        <f t="shared" si="190"/>
        <v/>
      </c>
      <c r="O65" s="21">
        <f t="shared" ref="O65:O67" si="204">O64</f>
        <v>0</v>
      </c>
      <c r="P65" s="21">
        <f>COUNTIFS('Data-TED-1'!$AH:$AH,O$1,'Data-TED-1'!$G:$G,"Average (60%)")</f>
        <v>0</v>
      </c>
      <c r="Q65" s="27" t="str">
        <f t="shared" si="191"/>
        <v/>
      </c>
      <c r="R65" s="21">
        <f t="shared" ref="R65:R67" si="205">R64</f>
        <v>0</v>
      </c>
      <c r="S65" s="21">
        <f>COUNTIFS('Data-TED-1'!$AH:$AH,R$1,'Data-TED-1'!$G:$G,"Average (60%)")</f>
        <v>0</v>
      </c>
      <c r="T65" s="27" t="str">
        <f t="shared" si="192"/>
        <v/>
      </c>
      <c r="U65" s="21">
        <f t="shared" ref="U65:U67" si="206">U64</f>
        <v>0</v>
      </c>
      <c r="V65" s="21">
        <f>COUNTIFS('Data-TED-1'!$AH:$AH,U$1,'Data-TED-1'!$G:$G,"Average (60%)")</f>
        <v>0</v>
      </c>
      <c r="W65" s="27" t="str">
        <f t="shared" si="193"/>
        <v/>
      </c>
      <c r="X65" s="21">
        <f t="shared" ref="X65:X67" si="207">X64</f>
        <v>0</v>
      </c>
      <c r="Y65" s="21">
        <f>COUNTIFS('Data-TED-1'!$AH:$AH,X$1,'Data-TED-1'!$G:$G,"Average (60%)")</f>
        <v>0</v>
      </c>
      <c r="Z65" s="27" t="str">
        <f t="shared" si="194"/>
        <v/>
      </c>
      <c r="AA65" s="21">
        <f t="shared" ref="AA65:AA67" si="208">AA64</f>
        <v>0</v>
      </c>
      <c r="AB65" s="21">
        <f>COUNTIFS('Data-TED-1'!$AH:$AH,AA$1,'Data-TED-1'!$G:$G,"Average (60%)")</f>
        <v>0</v>
      </c>
      <c r="AC65" s="27" t="str">
        <f t="shared" si="195"/>
        <v/>
      </c>
      <c r="AD65" s="21">
        <f t="shared" ref="AD65:AD67" si="209">AD64</f>
        <v>1</v>
      </c>
      <c r="AE65" s="21">
        <f>COUNTIFS('Data-TED-1'!$AH:$AH,AD$1,'Data-TED-1'!$G:$G,"Average (60%)")</f>
        <v>0</v>
      </c>
      <c r="AF65" s="27">
        <f t="shared" si="196"/>
        <v>0</v>
      </c>
      <c r="AG65" s="21">
        <f t="shared" ref="AG65:AG67" si="210">AG64</f>
        <v>0</v>
      </c>
      <c r="AH65" s="21">
        <f>COUNTIFS('Data-TED-1'!$AH:$AH,AG$1,'Data-TED-1'!$G:$G,"Average (60%)")</f>
        <v>0</v>
      </c>
      <c r="AI65" s="27" t="str">
        <f t="shared" si="197"/>
        <v/>
      </c>
      <c r="AJ65" s="21">
        <f t="shared" ref="AJ65:AJ67" si="211">AJ64</f>
        <v>0</v>
      </c>
      <c r="AK65" s="21">
        <f>COUNTIFS('Data-TED-1'!$AH:$AH,AJ$1,'Data-TED-1'!$G:$G,"Average (60%)")</f>
        <v>0</v>
      </c>
      <c r="AL65" s="27" t="str">
        <f t="shared" si="198"/>
        <v/>
      </c>
      <c r="AM65" s="21">
        <f t="shared" ref="AM65:AM67" si="212">AM64</f>
        <v>0</v>
      </c>
      <c r="AN65" s="21">
        <f>COUNTIFS('Data-TED-1'!$AH:$AH,AM$1,'Data-TED-1'!$G:$G,"Average (60%)")</f>
        <v>0</v>
      </c>
      <c r="AO65" s="27" t="str">
        <f t="shared" si="199"/>
        <v/>
      </c>
    </row>
    <row r="66" spans="1:41" x14ac:dyDescent="0.3">
      <c r="A66" s="25"/>
      <c r="B66" s="33" t="s">
        <v>122</v>
      </c>
      <c r="C66" s="21">
        <f t="shared" si="200"/>
        <v>1</v>
      </c>
      <c r="D66" s="21">
        <f t="shared" si="186"/>
        <v>0</v>
      </c>
      <c r="E66" s="27">
        <f t="shared" si="187"/>
        <v>0</v>
      </c>
      <c r="F66" s="21">
        <f t="shared" si="201"/>
        <v>0</v>
      </c>
      <c r="G66" s="21">
        <f>COUNTIFS('Data-TED-1'!$AH:$AH,F$1,'Data-TED-1'!$G:$G,"Unsatisfactory (40%)")</f>
        <v>0</v>
      </c>
      <c r="H66" s="27" t="str">
        <f t="shared" si="188"/>
        <v/>
      </c>
      <c r="I66" s="21">
        <f t="shared" si="202"/>
        <v>0</v>
      </c>
      <c r="J66" s="21">
        <f>COUNTIFS('Data-TED-1'!$AH:$AH,I$1,'Data-TED-1'!$G:$G,"Unsatisfactory (40%)")</f>
        <v>0</v>
      </c>
      <c r="K66" s="27" t="str">
        <f t="shared" si="189"/>
        <v/>
      </c>
      <c r="L66" s="21">
        <f t="shared" si="203"/>
        <v>0</v>
      </c>
      <c r="M66" s="21">
        <f>COUNTIFS('Data-TED-1'!$AH:$AH,L$1,'Data-TED-1'!$G:$G,"Unsatisfactory (40%)")</f>
        <v>0</v>
      </c>
      <c r="N66" s="27" t="str">
        <f t="shared" si="190"/>
        <v/>
      </c>
      <c r="O66" s="21">
        <f t="shared" si="204"/>
        <v>0</v>
      </c>
      <c r="P66" s="21">
        <f>COUNTIFS('Data-TED-1'!$AH:$AH,O$1,'Data-TED-1'!$G:$G,"Unsatisfactory (40%)")</f>
        <v>0</v>
      </c>
      <c r="Q66" s="27" t="str">
        <f t="shared" si="191"/>
        <v/>
      </c>
      <c r="R66" s="21">
        <f t="shared" si="205"/>
        <v>0</v>
      </c>
      <c r="S66" s="21">
        <f>COUNTIFS('Data-TED-1'!$AH:$AH,R$1,'Data-TED-1'!$G:$G,"Unsatisfactory (40%)")</f>
        <v>0</v>
      </c>
      <c r="T66" s="27" t="str">
        <f t="shared" si="192"/>
        <v/>
      </c>
      <c r="U66" s="21">
        <f t="shared" si="206"/>
        <v>0</v>
      </c>
      <c r="V66" s="21">
        <f>COUNTIFS('Data-TED-1'!$AH:$AH,U$1,'Data-TED-1'!$G:$G,"Unsatisfactory (40%)")</f>
        <v>0</v>
      </c>
      <c r="W66" s="27" t="str">
        <f t="shared" si="193"/>
        <v/>
      </c>
      <c r="X66" s="21">
        <f t="shared" si="207"/>
        <v>0</v>
      </c>
      <c r="Y66" s="21">
        <f>COUNTIFS('Data-TED-1'!$AH:$AH,X$1,'Data-TED-1'!$G:$G,"Unsatisfactory (40%)")</f>
        <v>0</v>
      </c>
      <c r="Z66" s="27" t="str">
        <f t="shared" si="194"/>
        <v/>
      </c>
      <c r="AA66" s="21">
        <f t="shared" si="208"/>
        <v>0</v>
      </c>
      <c r="AB66" s="21">
        <f>COUNTIFS('Data-TED-1'!$AH:$AH,AA$1,'Data-TED-1'!$G:$G,"Unsatisfactory (40%)")</f>
        <v>0</v>
      </c>
      <c r="AC66" s="27" t="str">
        <f t="shared" si="195"/>
        <v/>
      </c>
      <c r="AD66" s="21">
        <f t="shared" si="209"/>
        <v>1</v>
      </c>
      <c r="AE66" s="21">
        <f>COUNTIFS('Data-TED-1'!$AH:$AH,AD$1,'Data-TED-1'!$G:$G,"Unsatisfactory (40%)")</f>
        <v>0</v>
      </c>
      <c r="AF66" s="27">
        <f t="shared" si="196"/>
        <v>0</v>
      </c>
      <c r="AG66" s="21">
        <f t="shared" si="210"/>
        <v>0</v>
      </c>
      <c r="AH66" s="21">
        <f>COUNTIFS('Data-TED-1'!$AH:$AH,AG$1,'Data-TED-1'!$G:$G,"Unsatisfactory (40%)")</f>
        <v>0</v>
      </c>
      <c r="AI66" s="27" t="str">
        <f t="shared" si="197"/>
        <v/>
      </c>
      <c r="AJ66" s="21">
        <f t="shared" si="211"/>
        <v>0</v>
      </c>
      <c r="AK66" s="21">
        <f>COUNTIFS('Data-TED-1'!$AH:$AH,AJ$1,'Data-TED-1'!$G:$G,"Unsatisfactory (40%)")</f>
        <v>0</v>
      </c>
      <c r="AL66" s="27" t="str">
        <f t="shared" si="198"/>
        <v/>
      </c>
      <c r="AM66" s="21">
        <f t="shared" si="212"/>
        <v>0</v>
      </c>
      <c r="AN66" s="21">
        <f>COUNTIFS('Data-TED-1'!$AH:$AH,AM$1,'Data-TED-1'!$G:$G,"Unsatisfactory (40%)")</f>
        <v>0</v>
      </c>
      <c r="AO66" s="27" t="str">
        <f t="shared" si="199"/>
        <v/>
      </c>
    </row>
    <row r="67" spans="1:41" x14ac:dyDescent="0.3">
      <c r="A67" s="25"/>
      <c r="B67" s="33" t="s">
        <v>123</v>
      </c>
      <c r="C67" s="21">
        <f t="shared" si="200"/>
        <v>1</v>
      </c>
      <c r="D67" s="21">
        <f t="shared" si="186"/>
        <v>0</v>
      </c>
      <c r="E67" s="27">
        <f t="shared" si="187"/>
        <v>0</v>
      </c>
      <c r="F67" s="21">
        <f t="shared" si="201"/>
        <v>0</v>
      </c>
      <c r="G67" s="21">
        <f>COUNTIFS('Data-TED-1'!$AH:$AH,F$1,'Data-TED-1'!$G:$G,"Very unsatisfactory (20%)")</f>
        <v>0</v>
      </c>
      <c r="H67" s="27" t="str">
        <f t="shared" si="188"/>
        <v/>
      </c>
      <c r="I67" s="21">
        <f t="shared" si="202"/>
        <v>0</v>
      </c>
      <c r="J67" s="21">
        <f>COUNTIFS('Data-TED-1'!$AH:$AH,I$1,'Data-TED-1'!$G:$G,"Very unsatisfactory (20%)")</f>
        <v>0</v>
      </c>
      <c r="K67" s="27" t="str">
        <f t="shared" si="189"/>
        <v/>
      </c>
      <c r="L67" s="21">
        <f t="shared" si="203"/>
        <v>0</v>
      </c>
      <c r="M67" s="21">
        <f>COUNTIFS('Data-TED-1'!$AH:$AH,L$1,'Data-TED-1'!$G:$G,"Very unsatisfactory (20%)")</f>
        <v>0</v>
      </c>
      <c r="N67" s="27" t="str">
        <f t="shared" si="190"/>
        <v/>
      </c>
      <c r="O67" s="21">
        <f t="shared" si="204"/>
        <v>0</v>
      </c>
      <c r="P67" s="21">
        <f>COUNTIFS('Data-TED-1'!$AH:$AH,O$1,'Data-TED-1'!$G:$G,"Very unsatisfactory (20%)")</f>
        <v>0</v>
      </c>
      <c r="Q67" s="27" t="str">
        <f t="shared" si="191"/>
        <v/>
      </c>
      <c r="R67" s="21">
        <f t="shared" si="205"/>
        <v>0</v>
      </c>
      <c r="S67" s="21">
        <f>COUNTIFS('Data-TED-1'!$AH:$AH,R$1,'Data-TED-1'!$G:$G,"Very unsatisfactory (20%)")</f>
        <v>0</v>
      </c>
      <c r="T67" s="27" t="str">
        <f t="shared" si="192"/>
        <v/>
      </c>
      <c r="U67" s="21">
        <f t="shared" si="206"/>
        <v>0</v>
      </c>
      <c r="V67" s="21">
        <f>COUNTIFS('Data-TED-1'!$AH:$AH,U$1,'Data-TED-1'!$G:$G,"Very unsatisfactory (20%)")</f>
        <v>0</v>
      </c>
      <c r="W67" s="27" t="str">
        <f t="shared" si="193"/>
        <v/>
      </c>
      <c r="X67" s="21">
        <f t="shared" si="207"/>
        <v>0</v>
      </c>
      <c r="Y67" s="21">
        <f>COUNTIFS('Data-TED-1'!$AH:$AH,X$1,'Data-TED-1'!$G:$G,"Very unsatisfactory (20%)")</f>
        <v>0</v>
      </c>
      <c r="Z67" s="27" t="str">
        <f t="shared" si="194"/>
        <v/>
      </c>
      <c r="AA67" s="21">
        <f t="shared" si="208"/>
        <v>0</v>
      </c>
      <c r="AB67" s="21">
        <f>COUNTIFS('Data-TED-1'!$AH:$AH,AA$1,'Data-TED-1'!$G:$G,"Very unsatisfactory (20%)")</f>
        <v>0</v>
      </c>
      <c r="AC67" s="27" t="str">
        <f t="shared" si="195"/>
        <v/>
      </c>
      <c r="AD67" s="21">
        <f t="shared" si="209"/>
        <v>1</v>
      </c>
      <c r="AE67" s="21">
        <f>COUNTIFS('Data-TED-1'!$AH:$AH,AD$1,'Data-TED-1'!$G:$G,"Very unsatisfactory (20%)")</f>
        <v>0</v>
      </c>
      <c r="AF67" s="27">
        <f t="shared" si="196"/>
        <v>0</v>
      </c>
      <c r="AG67" s="21">
        <f t="shared" si="210"/>
        <v>0</v>
      </c>
      <c r="AH67" s="21">
        <f>COUNTIFS('Data-TED-1'!$AH:$AH,AG$1,'Data-TED-1'!$G:$G,"Very unsatisfactory (20%)")</f>
        <v>0</v>
      </c>
      <c r="AI67" s="27" t="str">
        <f t="shared" si="197"/>
        <v/>
      </c>
      <c r="AJ67" s="21">
        <f t="shared" si="211"/>
        <v>0</v>
      </c>
      <c r="AK67" s="21">
        <f>COUNTIFS('Data-TED-1'!$AH:$AH,AJ$1,'Data-TED-1'!$G:$G,"Very unsatisfactory (20%)")</f>
        <v>0</v>
      </c>
      <c r="AL67" s="27" t="str">
        <f t="shared" si="198"/>
        <v/>
      </c>
      <c r="AM67" s="21">
        <f t="shared" si="212"/>
        <v>0</v>
      </c>
      <c r="AN67" s="21">
        <f>COUNTIFS('Data-TED-1'!$AH:$AH,AM$1,'Data-TED-1'!$G:$G,"Very unsatisfactory (20%)")</f>
        <v>0</v>
      </c>
      <c r="AO67" s="27" t="str">
        <f t="shared" si="199"/>
        <v/>
      </c>
    </row>
    <row r="68" spans="1:41" x14ac:dyDescent="0.3">
      <c r="A68" s="21">
        <v>12</v>
      </c>
      <c r="B68" s="22" t="s">
        <v>80</v>
      </c>
      <c r="C68" s="23"/>
      <c r="D68" s="21"/>
      <c r="E68" s="24"/>
      <c r="F68" s="23"/>
      <c r="G68" s="23"/>
      <c r="H68" s="24"/>
      <c r="I68" s="23"/>
      <c r="J68" s="23"/>
      <c r="K68" s="24"/>
      <c r="L68" s="23"/>
      <c r="M68" s="23"/>
      <c r="N68" s="24"/>
      <c r="O68" s="23"/>
      <c r="P68" s="23"/>
      <c r="Q68" s="24"/>
      <c r="R68" s="23"/>
      <c r="S68" s="23"/>
      <c r="T68" s="24"/>
      <c r="U68" s="23"/>
      <c r="V68" s="23"/>
      <c r="W68" s="24"/>
      <c r="X68" s="23"/>
      <c r="Y68" s="23"/>
      <c r="Z68" s="24"/>
      <c r="AA68" s="23"/>
      <c r="AB68" s="23"/>
      <c r="AC68" s="24"/>
      <c r="AD68" s="23"/>
      <c r="AE68" s="23"/>
      <c r="AF68" s="24"/>
      <c r="AG68" s="23"/>
      <c r="AH68" s="23"/>
      <c r="AI68" s="24"/>
      <c r="AJ68" s="23"/>
      <c r="AK68" s="23"/>
      <c r="AL68" s="24"/>
      <c r="AM68" s="23"/>
      <c r="AN68" s="23"/>
      <c r="AO68" s="24"/>
    </row>
    <row r="69" spans="1:41" x14ac:dyDescent="0.3">
      <c r="A69" s="25"/>
      <c r="B69" s="33" t="s">
        <v>119</v>
      </c>
      <c r="C69" s="21">
        <f>COUNTIF('Data-TED-1'!$H:$H,"&lt;&gt;" &amp; "")-1</f>
        <v>1</v>
      </c>
      <c r="D69" s="21">
        <f t="shared" ref="D69:D73" si="213">G69+J69+M69+P69+S69+V69+Y69+AB69+AE69+AH69+AK69+AN69</f>
        <v>0</v>
      </c>
      <c r="E69" s="27">
        <f t="shared" si="187"/>
        <v>0</v>
      </c>
      <c r="F69" s="21">
        <f>COUNTIFS('Data-TED-1'!$AH:$AH,F$1,'Data-TED-1'!$H:$H,"&lt;&gt;" &amp; "")</f>
        <v>0</v>
      </c>
      <c r="G69" s="21">
        <f>COUNTIFS('Data-TED-1'!$AH:$AH,F$1,'Data-TED-1'!$H:$H,"Very satisfactory (100%)")</f>
        <v>0</v>
      </c>
      <c r="H69" s="27" t="str">
        <f t="shared" si="188"/>
        <v/>
      </c>
      <c r="I69" s="21">
        <f>COUNTIFS('Data-TED-1'!$AH:$AH,I$1,'Data-TED-1'!$H:$H,"&lt;&gt;" &amp; "")</f>
        <v>0</v>
      </c>
      <c r="J69" s="21">
        <f>COUNTIFS('Data-TED-1'!$AH:$AH,I$1,'Data-TED-1'!$H:$H,"Very satisfactory (100%)")</f>
        <v>0</v>
      </c>
      <c r="K69" s="27" t="str">
        <f t="shared" ref="K69:K73" si="214">IF(I69 &lt;&gt; 0,J69/I69,"")</f>
        <v/>
      </c>
      <c r="L69" s="21">
        <f>COUNTIFS('Data-TED-1'!$AH:$AH,L$1,'Data-TED-1'!$H:$H,"&lt;&gt;" &amp; "")</f>
        <v>0</v>
      </c>
      <c r="M69" s="21">
        <f>COUNTIFS('Data-TED-1'!$AH:$AH,L$1,'Data-TED-1'!$H:$H,"Very satisfactory (100%)")</f>
        <v>0</v>
      </c>
      <c r="N69" s="27" t="str">
        <f t="shared" ref="N69:N73" si="215">IF(L69 &lt;&gt; 0,M69/L69,"")</f>
        <v/>
      </c>
      <c r="O69" s="21">
        <f>COUNTIFS('Data-TED-1'!$AH:$AH,O$1,'Data-TED-1'!$H:$H,"&lt;&gt;" &amp; "")</f>
        <v>0</v>
      </c>
      <c r="P69" s="21">
        <f>COUNTIFS('Data-TED-1'!$AH:$AH,O$1,'Data-TED-1'!$H:$H,"Very satisfactory (100%)")</f>
        <v>0</v>
      </c>
      <c r="Q69" s="27" t="str">
        <f t="shared" ref="Q69:Q73" si="216">IF(O69 &lt;&gt; 0,P69/O69,"")</f>
        <v/>
      </c>
      <c r="R69" s="21">
        <f>COUNTIFS('Data-TED-1'!$AH:$AH,R$1,'Data-TED-1'!$H:$H,"&lt;&gt;" &amp; "")</f>
        <v>0</v>
      </c>
      <c r="S69" s="21">
        <f>COUNTIFS('Data-TED-1'!$AH:$AH,R$1,'Data-TED-1'!$H:$H,"Very satisfactory (100%)")</f>
        <v>0</v>
      </c>
      <c r="T69" s="27" t="str">
        <f t="shared" ref="T69:T73" si="217">IF(R69 &lt;&gt; 0,S69/R69,"")</f>
        <v/>
      </c>
      <c r="U69" s="21">
        <f>COUNTIFS('Data-TED-1'!$AH:$AH,U$1,'Data-TED-1'!$H:$H,"&lt;&gt;" &amp; "")</f>
        <v>0</v>
      </c>
      <c r="V69" s="21">
        <f>COUNTIFS('Data-TED-1'!$AH:$AH,U$1,'Data-TED-1'!$H:$H,"Very satisfactory (100%)")</f>
        <v>0</v>
      </c>
      <c r="W69" s="27" t="str">
        <f t="shared" ref="W69:W73" si="218">IF(U69 &lt;&gt; 0,V69/U69,"")</f>
        <v/>
      </c>
      <c r="X69" s="21">
        <f>COUNTIFS('Data-TED-1'!$AH:$AH,X$1,'Data-TED-1'!$H:$H,"&lt;&gt;" &amp; "")</f>
        <v>0</v>
      </c>
      <c r="Y69" s="21">
        <f>COUNTIFS('Data-TED-1'!$AH:$AH,X$1,'Data-TED-1'!$H:$H,"Very satisfactory (100%)")</f>
        <v>0</v>
      </c>
      <c r="Z69" s="27" t="str">
        <f t="shared" ref="Z69:Z73" si="219">IF(X69 &lt;&gt; 0,Y69/X69,"")</f>
        <v/>
      </c>
      <c r="AA69" s="21">
        <f>COUNTIFS('Data-TED-1'!$AH:$AH,AA$1,'Data-TED-1'!$H:$H,"&lt;&gt;" &amp; "")</f>
        <v>0</v>
      </c>
      <c r="AB69" s="21">
        <f>COUNTIFS('Data-TED-1'!$AH:$AH,AA$1,'Data-TED-1'!$H:$H,"Very satisfactory (100%)")</f>
        <v>0</v>
      </c>
      <c r="AC69" s="27" t="str">
        <f t="shared" ref="AC69:AC73" si="220">IF(AA69 &lt;&gt; 0,AB69/AA69,"")</f>
        <v/>
      </c>
      <c r="AD69" s="21">
        <f>COUNTIFS('Data-TED-1'!$AH:$AH,AD$1,'Data-TED-1'!$H:$H,"&lt;&gt;" &amp; "")</f>
        <v>1</v>
      </c>
      <c r="AE69" s="21">
        <f>COUNTIFS('Data-TED-1'!$AH:$AH,AD$1,'Data-TED-1'!$H:$H,"Very satisfactory (100%)")</f>
        <v>0</v>
      </c>
      <c r="AF69" s="27">
        <f t="shared" ref="AF69:AF73" si="221">IF(AD69 &lt;&gt; 0,AE69/AD69,"")</f>
        <v>0</v>
      </c>
      <c r="AG69" s="21">
        <f>COUNTIFS('Data-TED-1'!$AH:$AH,AG$1,'Data-TED-1'!$H:$H,"&lt;&gt;" &amp; "")</f>
        <v>0</v>
      </c>
      <c r="AH69" s="21">
        <f>COUNTIFS('Data-TED-1'!$AH:$AH,AG$1,'Data-TED-1'!$H:$H,"Very satisfactory (100%)")</f>
        <v>0</v>
      </c>
      <c r="AI69" s="27" t="str">
        <f t="shared" ref="AI69:AI73" si="222">IF(AG69 &lt;&gt; 0,AH69/AG69,"")</f>
        <v/>
      </c>
      <c r="AJ69" s="21">
        <f>COUNTIFS('Data-TED-1'!$AH:$AH,AJ$1,'Data-TED-1'!$H:$H,"&lt;&gt;" &amp; "")</f>
        <v>0</v>
      </c>
      <c r="AK69" s="21">
        <f>COUNTIFS('Data-TED-1'!$AH:$AH,AJ$1,'Data-TED-1'!$H:$H,"Very satisfactory (100%)")</f>
        <v>0</v>
      </c>
      <c r="AL69" s="27" t="str">
        <f t="shared" ref="AL69:AL73" si="223">IF(AJ69 &lt;&gt; 0,AK69/AJ69,"")</f>
        <v/>
      </c>
      <c r="AM69" s="21">
        <f>COUNTIFS('Data-TED-1'!$AH:$AH,AM$1,'Data-TED-1'!$H:$H,"&lt;&gt;" &amp; "")</f>
        <v>0</v>
      </c>
      <c r="AN69" s="21">
        <f>COUNTIFS('Data-TED-1'!$AH:$AH,AM$1,'Data-TED-1'!$H:$H,"Very satisfactory (100%)")</f>
        <v>0</v>
      </c>
      <c r="AO69" s="27" t="str">
        <f t="shared" ref="AO69:AO73" si="224">IF(AM69 &lt;&gt; 0,AN69/AM69,"")</f>
        <v/>
      </c>
    </row>
    <row r="70" spans="1:41" x14ac:dyDescent="0.3">
      <c r="A70" s="25"/>
      <c r="B70" s="33" t="s">
        <v>120</v>
      </c>
      <c r="C70" s="21">
        <f>C69</f>
        <v>1</v>
      </c>
      <c r="D70" s="21">
        <f t="shared" si="213"/>
        <v>1</v>
      </c>
      <c r="E70" s="27">
        <f t="shared" si="187"/>
        <v>1</v>
      </c>
      <c r="F70" s="21">
        <f>F69</f>
        <v>0</v>
      </c>
      <c r="G70" s="21">
        <f>COUNTIFS('Data-TED-1'!$AH:$AH,F$1,'Data-TED-1'!$H:$H,"Satisfactory (80%)")</f>
        <v>0</v>
      </c>
      <c r="H70" s="27" t="str">
        <f t="shared" si="188"/>
        <v/>
      </c>
      <c r="I70" s="21">
        <f>I69</f>
        <v>0</v>
      </c>
      <c r="J70" s="21">
        <f>COUNTIFS('Data-TED-1'!$AH:$AH,I$1,'Data-TED-1'!$H:$H,"Satisfactory (80%)")</f>
        <v>0</v>
      </c>
      <c r="K70" s="27" t="str">
        <f t="shared" si="214"/>
        <v/>
      </c>
      <c r="L70" s="21">
        <f>L69</f>
        <v>0</v>
      </c>
      <c r="M70" s="21">
        <f>COUNTIFS('Data-TED-1'!$AH:$AH,L$1,'Data-TED-1'!$H:$H,"Satisfactory (80%)")</f>
        <v>0</v>
      </c>
      <c r="N70" s="27" t="str">
        <f t="shared" si="215"/>
        <v/>
      </c>
      <c r="O70" s="21">
        <f>O69</f>
        <v>0</v>
      </c>
      <c r="P70" s="21">
        <f>COUNTIFS('Data-TED-1'!$AH:$AH,O$1,'Data-TED-1'!$H:$H,"Satisfactory (80%)")</f>
        <v>0</v>
      </c>
      <c r="Q70" s="27" t="str">
        <f t="shared" si="216"/>
        <v/>
      </c>
      <c r="R70" s="21">
        <f>R69</f>
        <v>0</v>
      </c>
      <c r="S70" s="21">
        <f>COUNTIFS('Data-TED-1'!$AH:$AH,R$1,'Data-TED-1'!$H:$H,"Satisfactory (80%)")</f>
        <v>0</v>
      </c>
      <c r="T70" s="27" t="str">
        <f t="shared" si="217"/>
        <v/>
      </c>
      <c r="U70" s="21">
        <f>U69</f>
        <v>0</v>
      </c>
      <c r="V70" s="21">
        <f>COUNTIFS('Data-TED-1'!$AH:$AH,U$1,'Data-TED-1'!$H:$H,"Satisfactory (80%)")</f>
        <v>0</v>
      </c>
      <c r="W70" s="27" t="str">
        <f t="shared" si="218"/>
        <v/>
      </c>
      <c r="X70" s="21">
        <f>X69</f>
        <v>0</v>
      </c>
      <c r="Y70" s="21">
        <f>COUNTIFS('Data-TED-1'!$AH:$AH,X$1,'Data-TED-1'!$H:$H,"Satisfactory (80%)")</f>
        <v>0</v>
      </c>
      <c r="Z70" s="27" t="str">
        <f t="shared" si="219"/>
        <v/>
      </c>
      <c r="AA70" s="21">
        <f>AA69</f>
        <v>0</v>
      </c>
      <c r="AB70" s="21">
        <f>COUNTIFS('Data-TED-1'!$AH:$AH,AA$1,'Data-TED-1'!$H:$H,"Satisfactory (80%)")</f>
        <v>0</v>
      </c>
      <c r="AC70" s="27" t="str">
        <f t="shared" si="220"/>
        <v/>
      </c>
      <c r="AD70" s="21">
        <f>AD69</f>
        <v>1</v>
      </c>
      <c r="AE70" s="21">
        <f>COUNTIFS('Data-TED-1'!$AH:$AH,AD$1,'Data-TED-1'!$H:$H,"Satisfactory (80%)")</f>
        <v>1</v>
      </c>
      <c r="AF70" s="27">
        <f t="shared" si="221"/>
        <v>1</v>
      </c>
      <c r="AG70" s="21">
        <f>AG69</f>
        <v>0</v>
      </c>
      <c r="AH70" s="21">
        <f>COUNTIFS('Data-TED-1'!$AH:$AH,AG$1,'Data-TED-1'!$H:$H,"Satisfactory (80%)")</f>
        <v>0</v>
      </c>
      <c r="AI70" s="27" t="str">
        <f t="shared" si="222"/>
        <v/>
      </c>
      <c r="AJ70" s="21">
        <f>AJ69</f>
        <v>0</v>
      </c>
      <c r="AK70" s="21">
        <f>COUNTIFS('Data-TED-1'!$AH:$AH,AJ$1,'Data-TED-1'!$H:$H,"Satisfactory (80%)")</f>
        <v>0</v>
      </c>
      <c r="AL70" s="27" t="str">
        <f t="shared" si="223"/>
        <v/>
      </c>
      <c r="AM70" s="21">
        <f>AM69</f>
        <v>0</v>
      </c>
      <c r="AN70" s="21">
        <f>COUNTIFS('Data-TED-1'!$AH:$AH,AM$1,'Data-TED-1'!$H:$H,"Satisfactory (80%)")</f>
        <v>0</v>
      </c>
      <c r="AO70" s="27" t="str">
        <f t="shared" si="224"/>
        <v/>
      </c>
    </row>
    <row r="71" spans="1:41" x14ac:dyDescent="0.3">
      <c r="A71" s="25"/>
      <c r="B71" s="33" t="s">
        <v>121</v>
      </c>
      <c r="C71" s="21">
        <f t="shared" ref="C71:C73" si="225">C70</f>
        <v>1</v>
      </c>
      <c r="D71" s="21">
        <f t="shared" si="213"/>
        <v>0</v>
      </c>
      <c r="E71" s="27">
        <f t="shared" si="187"/>
        <v>0</v>
      </c>
      <c r="F71" s="21">
        <f t="shared" ref="F71:F73" si="226">F70</f>
        <v>0</v>
      </c>
      <c r="G71" s="21">
        <f>COUNTIFS('Data-TED-1'!$AH:$AH,F$1,'Data-TED-1'!$H:$H,"Average (60%)")</f>
        <v>0</v>
      </c>
      <c r="H71" s="27" t="str">
        <f t="shared" si="188"/>
        <v/>
      </c>
      <c r="I71" s="21">
        <f t="shared" ref="I71:I73" si="227">I70</f>
        <v>0</v>
      </c>
      <c r="J71" s="21">
        <f>COUNTIFS('Data-TED-1'!$AH:$AH,I$1,'Data-TED-1'!$H:$H,"Average (60%)")</f>
        <v>0</v>
      </c>
      <c r="K71" s="27" t="str">
        <f t="shared" si="214"/>
        <v/>
      </c>
      <c r="L71" s="21">
        <f t="shared" ref="L71:L73" si="228">L70</f>
        <v>0</v>
      </c>
      <c r="M71" s="21">
        <f>COUNTIFS('Data-TED-1'!$AH:$AH,L$1,'Data-TED-1'!$H:$H,"Average (60%)")</f>
        <v>0</v>
      </c>
      <c r="N71" s="27" t="str">
        <f t="shared" si="215"/>
        <v/>
      </c>
      <c r="O71" s="21">
        <f t="shared" ref="O71:O73" si="229">O70</f>
        <v>0</v>
      </c>
      <c r="P71" s="21">
        <f>COUNTIFS('Data-TED-1'!$AH:$AH,O$1,'Data-TED-1'!$H:$H,"Average (60%)")</f>
        <v>0</v>
      </c>
      <c r="Q71" s="27" t="str">
        <f t="shared" si="216"/>
        <v/>
      </c>
      <c r="R71" s="21">
        <f t="shared" ref="R71:R73" si="230">R70</f>
        <v>0</v>
      </c>
      <c r="S71" s="21">
        <f>COUNTIFS('Data-TED-1'!$AH:$AH,R$1,'Data-TED-1'!$H:$H,"Average (60%)")</f>
        <v>0</v>
      </c>
      <c r="T71" s="27" t="str">
        <f t="shared" si="217"/>
        <v/>
      </c>
      <c r="U71" s="21">
        <f t="shared" ref="U71:U73" si="231">U70</f>
        <v>0</v>
      </c>
      <c r="V71" s="21">
        <f>COUNTIFS('Data-TED-1'!$AH:$AH,U$1,'Data-TED-1'!$H:$H,"Average (60%)")</f>
        <v>0</v>
      </c>
      <c r="W71" s="27" t="str">
        <f t="shared" si="218"/>
        <v/>
      </c>
      <c r="X71" s="21">
        <f t="shared" ref="X71:X73" si="232">X70</f>
        <v>0</v>
      </c>
      <c r="Y71" s="21">
        <f>COUNTIFS('Data-TED-1'!$AH:$AH,X$1,'Data-TED-1'!$H:$H,"Average (60%)")</f>
        <v>0</v>
      </c>
      <c r="Z71" s="27" t="str">
        <f t="shared" si="219"/>
        <v/>
      </c>
      <c r="AA71" s="21">
        <f t="shared" ref="AA71:AA73" si="233">AA70</f>
        <v>0</v>
      </c>
      <c r="AB71" s="21">
        <f>COUNTIFS('Data-TED-1'!$AH:$AH,AA$1,'Data-TED-1'!$H:$H,"Average (60%)")</f>
        <v>0</v>
      </c>
      <c r="AC71" s="27" t="str">
        <f t="shared" si="220"/>
        <v/>
      </c>
      <c r="AD71" s="21">
        <f t="shared" ref="AD71:AD73" si="234">AD70</f>
        <v>1</v>
      </c>
      <c r="AE71" s="21">
        <f>COUNTIFS('Data-TED-1'!$AH:$AH,AD$1,'Data-TED-1'!$H:$H,"Average (60%)")</f>
        <v>0</v>
      </c>
      <c r="AF71" s="27">
        <f t="shared" si="221"/>
        <v>0</v>
      </c>
      <c r="AG71" s="21">
        <f t="shared" ref="AG71:AG73" si="235">AG70</f>
        <v>0</v>
      </c>
      <c r="AH71" s="21">
        <f>COUNTIFS('Data-TED-1'!$AH:$AH,AG$1,'Data-TED-1'!$H:$H,"Average (60%)")</f>
        <v>0</v>
      </c>
      <c r="AI71" s="27" t="str">
        <f t="shared" si="222"/>
        <v/>
      </c>
      <c r="AJ71" s="21">
        <f t="shared" ref="AJ71:AJ73" si="236">AJ70</f>
        <v>0</v>
      </c>
      <c r="AK71" s="21">
        <f>COUNTIFS('Data-TED-1'!$AH:$AH,AJ$1,'Data-TED-1'!$H:$H,"Average (60%)")</f>
        <v>0</v>
      </c>
      <c r="AL71" s="27" t="str">
        <f t="shared" si="223"/>
        <v/>
      </c>
      <c r="AM71" s="21">
        <f t="shared" ref="AM71:AM73" si="237">AM70</f>
        <v>0</v>
      </c>
      <c r="AN71" s="21">
        <f>COUNTIFS('Data-TED-1'!$AH:$AH,AM$1,'Data-TED-1'!$H:$H,"Average (60%)")</f>
        <v>0</v>
      </c>
      <c r="AO71" s="27" t="str">
        <f t="shared" si="224"/>
        <v/>
      </c>
    </row>
    <row r="72" spans="1:41" x14ac:dyDescent="0.3">
      <c r="A72" s="25"/>
      <c r="B72" s="33" t="s">
        <v>122</v>
      </c>
      <c r="C72" s="21">
        <f t="shared" si="225"/>
        <v>1</v>
      </c>
      <c r="D72" s="21">
        <f t="shared" si="213"/>
        <v>0</v>
      </c>
      <c r="E72" s="27">
        <f t="shared" si="187"/>
        <v>0</v>
      </c>
      <c r="F72" s="21">
        <f t="shared" si="226"/>
        <v>0</v>
      </c>
      <c r="G72" s="21">
        <f>COUNTIFS('Data-TED-1'!$AH:$AH,F$1,'Data-TED-1'!$H:$H,"Unsatisfactory (40%)")</f>
        <v>0</v>
      </c>
      <c r="H72" s="27" t="str">
        <f t="shared" si="188"/>
        <v/>
      </c>
      <c r="I72" s="21">
        <f t="shared" si="227"/>
        <v>0</v>
      </c>
      <c r="J72" s="21">
        <f>COUNTIFS('Data-TED-1'!$AH:$AH,I$1,'Data-TED-1'!$H:$H,"Unsatisfactory (40%)")</f>
        <v>0</v>
      </c>
      <c r="K72" s="27" t="str">
        <f t="shared" si="214"/>
        <v/>
      </c>
      <c r="L72" s="21">
        <f t="shared" si="228"/>
        <v>0</v>
      </c>
      <c r="M72" s="21">
        <f>COUNTIFS('Data-TED-1'!$AH:$AH,L$1,'Data-TED-1'!$H:$H,"Unsatisfactory (40%)")</f>
        <v>0</v>
      </c>
      <c r="N72" s="27" t="str">
        <f t="shared" si="215"/>
        <v/>
      </c>
      <c r="O72" s="21">
        <f t="shared" si="229"/>
        <v>0</v>
      </c>
      <c r="P72" s="21">
        <f>COUNTIFS('Data-TED-1'!$AH:$AH,O$1,'Data-TED-1'!$H:$H,"Unsatisfactory (40%)")</f>
        <v>0</v>
      </c>
      <c r="Q72" s="27" t="str">
        <f t="shared" si="216"/>
        <v/>
      </c>
      <c r="R72" s="21">
        <f t="shared" si="230"/>
        <v>0</v>
      </c>
      <c r="S72" s="21">
        <f>COUNTIFS('Data-TED-1'!$AH:$AH,R$1,'Data-TED-1'!$H:$H,"Unsatisfactory (40%)")</f>
        <v>0</v>
      </c>
      <c r="T72" s="27" t="str">
        <f t="shared" si="217"/>
        <v/>
      </c>
      <c r="U72" s="21">
        <f t="shared" si="231"/>
        <v>0</v>
      </c>
      <c r="V72" s="21">
        <f>COUNTIFS('Data-TED-1'!$AH:$AH,U$1,'Data-TED-1'!$H:$H,"Unsatisfactory (40%)")</f>
        <v>0</v>
      </c>
      <c r="W72" s="27" t="str">
        <f t="shared" si="218"/>
        <v/>
      </c>
      <c r="X72" s="21">
        <f t="shared" si="232"/>
        <v>0</v>
      </c>
      <c r="Y72" s="21">
        <f>COUNTIFS('Data-TED-1'!$AH:$AH,X$1,'Data-TED-1'!$H:$H,"Unsatisfactory (40%)")</f>
        <v>0</v>
      </c>
      <c r="Z72" s="27" t="str">
        <f t="shared" si="219"/>
        <v/>
      </c>
      <c r="AA72" s="21">
        <f t="shared" si="233"/>
        <v>0</v>
      </c>
      <c r="AB72" s="21">
        <f>COUNTIFS('Data-TED-1'!$AH:$AH,AA$1,'Data-TED-1'!$H:$H,"Unsatisfactory (40%)")</f>
        <v>0</v>
      </c>
      <c r="AC72" s="27" t="str">
        <f t="shared" si="220"/>
        <v/>
      </c>
      <c r="AD72" s="21">
        <f t="shared" si="234"/>
        <v>1</v>
      </c>
      <c r="AE72" s="21">
        <f>COUNTIFS('Data-TED-1'!$AH:$AH,AD$1,'Data-TED-1'!$H:$H,"Unsatisfactory (40%)")</f>
        <v>0</v>
      </c>
      <c r="AF72" s="27">
        <f t="shared" si="221"/>
        <v>0</v>
      </c>
      <c r="AG72" s="21">
        <f t="shared" si="235"/>
        <v>0</v>
      </c>
      <c r="AH72" s="21">
        <f>COUNTIFS('Data-TED-1'!$AH:$AH,AG$1,'Data-TED-1'!$H:$H,"Unsatisfactory (40%)")</f>
        <v>0</v>
      </c>
      <c r="AI72" s="27" t="str">
        <f t="shared" si="222"/>
        <v/>
      </c>
      <c r="AJ72" s="21">
        <f t="shared" si="236"/>
        <v>0</v>
      </c>
      <c r="AK72" s="21">
        <f>COUNTIFS('Data-TED-1'!$AH:$AH,AJ$1,'Data-TED-1'!$H:$H,"Unsatisfactory (40%)")</f>
        <v>0</v>
      </c>
      <c r="AL72" s="27" t="str">
        <f t="shared" si="223"/>
        <v/>
      </c>
      <c r="AM72" s="21">
        <f t="shared" si="237"/>
        <v>0</v>
      </c>
      <c r="AN72" s="21">
        <f>COUNTIFS('Data-TED-1'!$AH:$AH,AM$1,'Data-TED-1'!$H:$H,"Unsatisfactory (40%)")</f>
        <v>0</v>
      </c>
      <c r="AO72" s="27" t="str">
        <f t="shared" si="224"/>
        <v/>
      </c>
    </row>
    <row r="73" spans="1:41" x14ac:dyDescent="0.3">
      <c r="A73" s="25"/>
      <c r="B73" s="33" t="s">
        <v>123</v>
      </c>
      <c r="C73" s="21">
        <f t="shared" si="225"/>
        <v>1</v>
      </c>
      <c r="D73" s="21">
        <f t="shared" si="213"/>
        <v>0</v>
      </c>
      <c r="E73" s="27">
        <f t="shared" si="187"/>
        <v>0</v>
      </c>
      <c r="F73" s="21">
        <f t="shared" si="226"/>
        <v>0</v>
      </c>
      <c r="G73" s="21">
        <f>COUNTIFS('Data-TED-1'!$AH:$AH,F$1,'Data-TED-1'!$H:$H,"Very unsatisfactory (20%)")</f>
        <v>0</v>
      </c>
      <c r="H73" s="27" t="str">
        <f t="shared" si="188"/>
        <v/>
      </c>
      <c r="I73" s="21">
        <f t="shared" si="227"/>
        <v>0</v>
      </c>
      <c r="J73" s="21">
        <f>COUNTIFS('Data-TED-1'!$AH:$AH,I$1,'Data-TED-1'!$H:$H,"Very unsatisfactory (20%)")</f>
        <v>0</v>
      </c>
      <c r="K73" s="27" t="str">
        <f t="shared" si="214"/>
        <v/>
      </c>
      <c r="L73" s="21">
        <f t="shared" si="228"/>
        <v>0</v>
      </c>
      <c r="M73" s="21">
        <f>COUNTIFS('Data-TED-1'!$AH:$AH,L$1,'Data-TED-1'!$H:$H,"Very unsatisfactory (20%)")</f>
        <v>0</v>
      </c>
      <c r="N73" s="27" t="str">
        <f t="shared" si="215"/>
        <v/>
      </c>
      <c r="O73" s="21">
        <f t="shared" si="229"/>
        <v>0</v>
      </c>
      <c r="P73" s="21">
        <f>COUNTIFS('Data-TED-1'!$AH:$AH,O$1,'Data-TED-1'!$H:$H,"Very unsatisfactory (20%)")</f>
        <v>0</v>
      </c>
      <c r="Q73" s="27" t="str">
        <f t="shared" si="216"/>
        <v/>
      </c>
      <c r="R73" s="21">
        <f t="shared" si="230"/>
        <v>0</v>
      </c>
      <c r="S73" s="21">
        <f>COUNTIFS('Data-TED-1'!$AH:$AH,R$1,'Data-TED-1'!$H:$H,"Very unsatisfactory (20%)")</f>
        <v>0</v>
      </c>
      <c r="T73" s="27" t="str">
        <f t="shared" si="217"/>
        <v/>
      </c>
      <c r="U73" s="21">
        <f t="shared" si="231"/>
        <v>0</v>
      </c>
      <c r="V73" s="21">
        <f>COUNTIFS('Data-TED-1'!$AH:$AH,U$1,'Data-TED-1'!$H:$H,"Very unsatisfactory (20%)")</f>
        <v>0</v>
      </c>
      <c r="W73" s="27" t="str">
        <f t="shared" si="218"/>
        <v/>
      </c>
      <c r="X73" s="21">
        <f t="shared" si="232"/>
        <v>0</v>
      </c>
      <c r="Y73" s="21">
        <f>COUNTIFS('Data-TED-1'!$AH:$AH,X$1,'Data-TED-1'!$H:$H,"Very unsatisfactory (20%)")</f>
        <v>0</v>
      </c>
      <c r="Z73" s="27" t="str">
        <f t="shared" si="219"/>
        <v/>
      </c>
      <c r="AA73" s="21">
        <f t="shared" si="233"/>
        <v>0</v>
      </c>
      <c r="AB73" s="21">
        <f>COUNTIFS('Data-TED-1'!$AH:$AH,AA$1,'Data-TED-1'!$H:$H,"Very unsatisfactory (20%)")</f>
        <v>0</v>
      </c>
      <c r="AC73" s="27" t="str">
        <f t="shared" si="220"/>
        <v/>
      </c>
      <c r="AD73" s="21">
        <f t="shared" si="234"/>
        <v>1</v>
      </c>
      <c r="AE73" s="21">
        <f>COUNTIFS('Data-TED-1'!$AH:$AH,AD$1,'Data-TED-1'!$H:$H,"Very unsatisfactory (20%)")</f>
        <v>0</v>
      </c>
      <c r="AF73" s="27">
        <f t="shared" si="221"/>
        <v>0</v>
      </c>
      <c r="AG73" s="21">
        <f t="shared" si="235"/>
        <v>0</v>
      </c>
      <c r="AH73" s="21">
        <f>COUNTIFS('Data-TED-1'!$AH:$AH,AG$1,'Data-TED-1'!$H:$H,"Very unsatisfactory (20%)")</f>
        <v>0</v>
      </c>
      <c r="AI73" s="27" t="str">
        <f t="shared" si="222"/>
        <v/>
      </c>
      <c r="AJ73" s="21">
        <f t="shared" si="236"/>
        <v>0</v>
      </c>
      <c r="AK73" s="21">
        <f>COUNTIFS('Data-TED-1'!$AH:$AH,AJ$1,'Data-TED-1'!$H:$H,"Very unsatisfactory (20%)")</f>
        <v>0</v>
      </c>
      <c r="AL73" s="27" t="str">
        <f t="shared" si="223"/>
        <v/>
      </c>
      <c r="AM73" s="21">
        <f t="shared" si="237"/>
        <v>0</v>
      </c>
      <c r="AN73" s="21">
        <f>COUNTIFS('Data-TED-1'!$AH:$AH,AM$1,'Data-TED-1'!$H:$H,"Very unsatisfactory (20%)")</f>
        <v>0</v>
      </c>
      <c r="AO73" s="27" t="str">
        <f t="shared" si="224"/>
        <v/>
      </c>
    </row>
    <row r="74" spans="1:41" x14ac:dyDescent="0.3">
      <c r="A74" s="21">
        <v>13</v>
      </c>
      <c r="B74" s="22" t="s">
        <v>81</v>
      </c>
      <c r="C74" s="23"/>
      <c r="D74" s="21"/>
      <c r="E74" s="24"/>
      <c r="F74" s="23"/>
      <c r="G74" s="23"/>
      <c r="H74" s="24"/>
      <c r="I74" s="23"/>
      <c r="J74" s="23"/>
      <c r="K74" s="24"/>
      <c r="L74" s="23"/>
      <c r="M74" s="23"/>
      <c r="N74" s="24"/>
      <c r="O74" s="23"/>
      <c r="P74" s="23"/>
      <c r="Q74" s="24"/>
      <c r="R74" s="23"/>
      <c r="S74" s="23"/>
      <c r="T74" s="24"/>
      <c r="U74" s="23"/>
      <c r="V74" s="23"/>
      <c r="W74" s="24"/>
      <c r="X74" s="23"/>
      <c r="Y74" s="23"/>
      <c r="Z74" s="24"/>
      <c r="AA74" s="23"/>
      <c r="AB74" s="23"/>
      <c r="AC74" s="24"/>
      <c r="AD74" s="23"/>
      <c r="AE74" s="23"/>
      <c r="AF74" s="24"/>
      <c r="AG74" s="23"/>
      <c r="AH74" s="23"/>
      <c r="AI74" s="24"/>
      <c r="AJ74" s="23"/>
      <c r="AK74" s="23"/>
      <c r="AL74" s="24"/>
      <c r="AM74" s="23"/>
      <c r="AN74" s="23"/>
      <c r="AO74" s="24"/>
    </row>
    <row r="75" spans="1:41" x14ac:dyDescent="0.3">
      <c r="A75" s="25"/>
      <c r="B75" s="33" t="s">
        <v>119</v>
      </c>
      <c r="C75" s="21">
        <f>COUNTIF('Data-TED-1'!$I:$I,"&lt;&gt;" &amp; "")-1</f>
        <v>1</v>
      </c>
      <c r="D75" s="21">
        <f t="shared" ref="D75:D79" si="238">G75+J75+M75+P75+S75+V75+Y75+AB75+AE75+AH75+AK75+AN75</f>
        <v>0</v>
      </c>
      <c r="E75" s="27">
        <f t="shared" si="187"/>
        <v>0</v>
      </c>
      <c r="F75" s="21">
        <f>COUNTIFS('Data-TED-1'!$AH:$AH,F$1,'Data-TED-1'!$I:$I,"&lt;&gt;" &amp; "")</f>
        <v>0</v>
      </c>
      <c r="G75" s="21">
        <f>COUNTIFS('Data-TED-1'!$AH:$AH,F$1,'Data-TED-1'!$I:$I,"Very satisfactory (100%)")</f>
        <v>0</v>
      </c>
      <c r="H75" s="27" t="str">
        <f t="shared" si="188"/>
        <v/>
      </c>
      <c r="I75" s="21">
        <f>COUNTIFS('Data-TED-1'!$AH:$AH,I$1,'Data-TED-1'!$I:$I,"&lt;&gt;" &amp; "")</f>
        <v>0</v>
      </c>
      <c r="J75" s="21">
        <f>COUNTIFS('Data-TED-1'!$AH:$AH,I$1,'Data-TED-1'!$I:$I,"Very satisfactory (100%)")</f>
        <v>0</v>
      </c>
      <c r="K75" s="27" t="str">
        <f t="shared" ref="K75:K79" si="239">IF(I75 &lt;&gt; 0,J75/I75,"")</f>
        <v/>
      </c>
      <c r="L75" s="21">
        <f>COUNTIFS('Data-TED-1'!$AH:$AH,L$1,'Data-TED-1'!$I:$I,"&lt;&gt;" &amp; "")</f>
        <v>0</v>
      </c>
      <c r="M75" s="21">
        <f>COUNTIFS('Data-TED-1'!$AH:$AH,L$1,'Data-TED-1'!$I:$I,"Very satisfactory (100%)")</f>
        <v>0</v>
      </c>
      <c r="N75" s="27" t="str">
        <f t="shared" ref="N75:N79" si="240">IF(L75 &lt;&gt; 0,M75/L75,"")</f>
        <v/>
      </c>
      <c r="O75" s="21">
        <f>COUNTIFS('Data-TED-1'!$AH:$AH,O$1,'Data-TED-1'!$I:$I,"&lt;&gt;" &amp; "")</f>
        <v>0</v>
      </c>
      <c r="P75" s="21">
        <f>COUNTIFS('Data-TED-1'!$AH:$AH,O$1,'Data-TED-1'!$I:$I,"Very satisfactory (100%)")</f>
        <v>0</v>
      </c>
      <c r="Q75" s="27" t="str">
        <f t="shared" ref="Q75:Q79" si="241">IF(O75 &lt;&gt; 0,P75/O75,"")</f>
        <v/>
      </c>
      <c r="R75" s="21">
        <f>COUNTIFS('Data-TED-1'!$AH:$AH,R$1,'Data-TED-1'!$I:$I,"&lt;&gt;" &amp; "")</f>
        <v>0</v>
      </c>
      <c r="S75" s="21">
        <f>COUNTIFS('Data-TED-1'!$AH:$AH,R$1,'Data-TED-1'!$I:$I,"Very satisfactory (100%)")</f>
        <v>0</v>
      </c>
      <c r="T75" s="27" t="str">
        <f t="shared" ref="T75:T79" si="242">IF(R75 &lt;&gt; 0,S75/R75,"")</f>
        <v/>
      </c>
      <c r="U75" s="21">
        <f>COUNTIFS('Data-TED-1'!$AH:$AH,U$1,'Data-TED-1'!$I:$I,"&lt;&gt;" &amp; "")</f>
        <v>0</v>
      </c>
      <c r="V75" s="21">
        <f>COUNTIFS('Data-TED-1'!$AH:$AH,U$1,'Data-TED-1'!$I:$I,"Very satisfactory (100%)")</f>
        <v>0</v>
      </c>
      <c r="W75" s="27" t="str">
        <f t="shared" ref="W75:W79" si="243">IF(U75 &lt;&gt; 0,V75/U75,"")</f>
        <v/>
      </c>
      <c r="X75" s="21">
        <f>COUNTIFS('Data-TED-1'!$AH:$AH,X$1,'Data-TED-1'!$I:$I,"&lt;&gt;" &amp; "")</f>
        <v>0</v>
      </c>
      <c r="Y75" s="21">
        <f>COUNTIFS('Data-TED-1'!$AH:$AH,X$1,'Data-TED-1'!$I:$I,"Very satisfactory (100%)")</f>
        <v>0</v>
      </c>
      <c r="Z75" s="27" t="str">
        <f t="shared" ref="Z75:Z79" si="244">IF(X75 &lt;&gt; 0,Y75/X75,"")</f>
        <v/>
      </c>
      <c r="AA75" s="21">
        <f>COUNTIFS('Data-TED-1'!$AH:$AH,AA$1,'Data-TED-1'!$I:$I,"&lt;&gt;" &amp; "")</f>
        <v>0</v>
      </c>
      <c r="AB75" s="21">
        <f>COUNTIFS('Data-TED-1'!$AH:$AH,AA$1,'Data-TED-1'!$I:$I,"Very satisfactory (100%)")</f>
        <v>0</v>
      </c>
      <c r="AC75" s="27" t="str">
        <f t="shared" ref="AC75:AC79" si="245">IF(AA75 &lt;&gt; 0,AB75/AA75,"")</f>
        <v/>
      </c>
      <c r="AD75" s="21">
        <f>COUNTIFS('Data-TED-1'!$AH:$AH,AD$1,'Data-TED-1'!$I:$I,"&lt;&gt;" &amp; "")</f>
        <v>1</v>
      </c>
      <c r="AE75" s="21">
        <f>COUNTIFS('Data-TED-1'!$AH:$AH,AD$1,'Data-TED-1'!$I:$I,"Very satisfactory (100%)")</f>
        <v>0</v>
      </c>
      <c r="AF75" s="27">
        <f t="shared" ref="AF75:AF79" si="246">IF(AD75 &lt;&gt; 0,AE75/AD75,"")</f>
        <v>0</v>
      </c>
      <c r="AG75" s="21">
        <f>COUNTIFS('Data-TED-1'!$AH:$AH,AG$1,'Data-TED-1'!$I:$I,"&lt;&gt;" &amp; "")</f>
        <v>0</v>
      </c>
      <c r="AH75" s="21">
        <f>COUNTIFS('Data-TED-1'!$AH:$AH,AG$1,'Data-TED-1'!$I:$I,"Very satisfactory (100%)")</f>
        <v>0</v>
      </c>
      <c r="AI75" s="27" t="str">
        <f t="shared" ref="AI75:AI79" si="247">IF(AG75 &lt;&gt; 0,AH75/AG75,"")</f>
        <v/>
      </c>
      <c r="AJ75" s="21">
        <f>COUNTIFS('Data-TED-1'!$AH:$AH,AJ$1,'Data-TED-1'!$I:$I,"&lt;&gt;" &amp; "")</f>
        <v>0</v>
      </c>
      <c r="AK75" s="21">
        <f>COUNTIFS('Data-TED-1'!$AH:$AH,AJ$1,'Data-TED-1'!$I:$I,"Very satisfactory (100%)")</f>
        <v>0</v>
      </c>
      <c r="AL75" s="27" t="str">
        <f t="shared" ref="AL75:AL79" si="248">IF(AJ75 &lt;&gt; 0,AK75/AJ75,"")</f>
        <v/>
      </c>
      <c r="AM75" s="21">
        <f>COUNTIFS('Data-TED-1'!$AH:$AH,AM$1,'Data-TED-1'!$I:$I,"&lt;&gt;" &amp; "")</f>
        <v>0</v>
      </c>
      <c r="AN75" s="21">
        <f>COUNTIFS('Data-TED-1'!$AH:$AH,AM$1,'Data-TED-1'!$I:$I,"Very satisfactory (100%)")</f>
        <v>0</v>
      </c>
      <c r="AO75" s="27" t="str">
        <f t="shared" ref="AO75:AO79" si="249">IF(AM75 &lt;&gt; 0,AN75/AM75,"")</f>
        <v/>
      </c>
    </row>
    <row r="76" spans="1:41" x14ac:dyDescent="0.3">
      <c r="A76" s="25"/>
      <c r="B76" s="33" t="s">
        <v>120</v>
      </c>
      <c r="C76" s="21">
        <f>C75</f>
        <v>1</v>
      </c>
      <c r="D76" s="21">
        <f t="shared" si="238"/>
        <v>1</v>
      </c>
      <c r="E76" s="27">
        <f t="shared" si="187"/>
        <v>1</v>
      </c>
      <c r="F76" s="21">
        <f>F75</f>
        <v>0</v>
      </c>
      <c r="G76" s="21">
        <f>COUNTIFS('Data-TED-1'!$AH:$AH,F$1,'Data-TED-1'!$I:$I,"Satisfactory (80%)")</f>
        <v>0</v>
      </c>
      <c r="H76" s="27" t="str">
        <f t="shared" si="188"/>
        <v/>
      </c>
      <c r="I76" s="21">
        <f>I75</f>
        <v>0</v>
      </c>
      <c r="J76" s="21">
        <f>COUNTIFS('Data-TED-1'!$AH:$AH,I$1,'Data-TED-1'!$I:$I,"Satisfactory (80%)")</f>
        <v>0</v>
      </c>
      <c r="K76" s="27" t="str">
        <f t="shared" si="239"/>
        <v/>
      </c>
      <c r="L76" s="21">
        <f>L75</f>
        <v>0</v>
      </c>
      <c r="M76" s="21">
        <f>COUNTIFS('Data-TED-1'!$AH:$AH,L$1,'Data-TED-1'!$I:$I,"Satisfactory (80%)")</f>
        <v>0</v>
      </c>
      <c r="N76" s="27" t="str">
        <f t="shared" si="240"/>
        <v/>
      </c>
      <c r="O76" s="21">
        <f>O75</f>
        <v>0</v>
      </c>
      <c r="P76" s="21">
        <f>COUNTIFS('Data-TED-1'!$AH:$AH,O$1,'Data-TED-1'!$I:$I,"Satisfactory (80%)")</f>
        <v>0</v>
      </c>
      <c r="Q76" s="27" t="str">
        <f t="shared" si="241"/>
        <v/>
      </c>
      <c r="R76" s="21">
        <f>R75</f>
        <v>0</v>
      </c>
      <c r="S76" s="21">
        <f>COUNTIFS('Data-TED-1'!$AH:$AH,R$1,'Data-TED-1'!$I:$I,"Satisfactory (80%)")</f>
        <v>0</v>
      </c>
      <c r="T76" s="27" t="str">
        <f t="shared" si="242"/>
        <v/>
      </c>
      <c r="U76" s="21">
        <f>U75</f>
        <v>0</v>
      </c>
      <c r="V76" s="21">
        <f>COUNTIFS('Data-TED-1'!$AH:$AH,U$1,'Data-TED-1'!$I:$I,"Satisfactory (80%)")</f>
        <v>0</v>
      </c>
      <c r="W76" s="27" t="str">
        <f t="shared" si="243"/>
        <v/>
      </c>
      <c r="X76" s="21">
        <f>X75</f>
        <v>0</v>
      </c>
      <c r="Y76" s="21">
        <f>COUNTIFS('Data-TED-1'!$AH:$AH,X$1,'Data-TED-1'!$I:$I,"Satisfactory (80%)")</f>
        <v>0</v>
      </c>
      <c r="Z76" s="27" t="str">
        <f t="shared" si="244"/>
        <v/>
      </c>
      <c r="AA76" s="21">
        <f>AA75</f>
        <v>0</v>
      </c>
      <c r="AB76" s="21">
        <f>COUNTIFS('Data-TED-1'!$AH:$AH,AA$1,'Data-TED-1'!$I:$I,"Satisfactory (80%)")</f>
        <v>0</v>
      </c>
      <c r="AC76" s="27" t="str">
        <f t="shared" si="245"/>
        <v/>
      </c>
      <c r="AD76" s="21">
        <f>AD75</f>
        <v>1</v>
      </c>
      <c r="AE76" s="21">
        <f>COUNTIFS('Data-TED-1'!$AH:$AH,AD$1,'Data-TED-1'!$I:$I,"Satisfactory (80%)")</f>
        <v>1</v>
      </c>
      <c r="AF76" s="27">
        <f t="shared" si="246"/>
        <v>1</v>
      </c>
      <c r="AG76" s="21">
        <f>AG75</f>
        <v>0</v>
      </c>
      <c r="AH76" s="21">
        <f>COUNTIFS('Data-TED-1'!$AH:$AH,AG$1,'Data-TED-1'!$I:$I,"Satisfactory (80%)")</f>
        <v>0</v>
      </c>
      <c r="AI76" s="27" t="str">
        <f t="shared" si="247"/>
        <v/>
      </c>
      <c r="AJ76" s="21">
        <f>AJ75</f>
        <v>0</v>
      </c>
      <c r="AK76" s="21">
        <f>COUNTIFS('Data-TED-1'!$AH:$AH,AJ$1,'Data-TED-1'!$I:$I,"Satisfactory (80%)")</f>
        <v>0</v>
      </c>
      <c r="AL76" s="27" t="str">
        <f t="shared" si="248"/>
        <v/>
      </c>
      <c r="AM76" s="21">
        <f>AM75</f>
        <v>0</v>
      </c>
      <c r="AN76" s="21">
        <f>COUNTIFS('Data-TED-1'!$AH:$AH,AM$1,'Data-TED-1'!$I:$I,"Satisfactory (80%)")</f>
        <v>0</v>
      </c>
      <c r="AO76" s="27" t="str">
        <f t="shared" si="249"/>
        <v/>
      </c>
    </row>
    <row r="77" spans="1:41" x14ac:dyDescent="0.3">
      <c r="A77" s="25"/>
      <c r="B77" s="33" t="s">
        <v>121</v>
      </c>
      <c r="C77" s="21">
        <f t="shared" ref="C77:C79" si="250">C76</f>
        <v>1</v>
      </c>
      <c r="D77" s="21">
        <f t="shared" si="238"/>
        <v>0</v>
      </c>
      <c r="E77" s="27">
        <f t="shared" si="187"/>
        <v>0</v>
      </c>
      <c r="F77" s="21">
        <f t="shared" ref="F77:F79" si="251">F76</f>
        <v>0</v>
      </c>
      <c r="G77" s="21">
        <f>COUNTIFS('Data-TED-1'!$AH:$AH,F$1,'Data-TED-1'!$I:$I,"Average (60%)")</f>
        <v>0</v>
      </c>
      <c r="H77" s="27" t="str">
        <f t="shared" si="188"/>
        <v/>
      </c>
      <c r="I77" s="21">
        <f t="shared" ref="I77:I79" si="252">I76</f>
        <v>0</v>
      </c>
      <c r="J77" s="21">
        <f>COUNTIFS('Data-TED-1'!$AH:$AH,I$1,'Data-TED-1'!$I:$I,"Average (60%)")</f>
        <v>0</v>
      </c>
      <c r="K77" s="27" t="str">
        <f t="shared" si="239"/>
        <v/>
      </c>
      <c r="L77" s="21">
        <f t="shared" ref="L77:L79" si="253">L76</f>
        <v>0</v>
      </c>
      <c r="M77" s="21">
        <f>COUNTIFS('Data-TED-1'!$AH:$AH,L$1,'Data-TED-1'!$I:$I,"Average (60%)")</f>
        <v>0</v>
      </c>
      <c r="N77" s="27" t="str">
        <f t="shared" si="240"/>
        <v/>
      </c>
      <c r="O77" s="21">
        <f t="shared" ref="O77:O79" si="254">O76</f>
        <v>0</v>
      </c>
      <c r="P77" s="21">
        <f>COUNTIFS('Data-TED-1'!$AH:$AH,O$1,'Data-TED-1'!$I:$I,"Average (60%)")</f>
        <v>0</v>
      </c>
      <c r="Q77" s="27" t="str">
        <f t="shared" si="241"/>
        <v/>
      </c>
      <c r="R77" s="21">
        <f t="shared" ref="R77:R79" si="255">R76</f>
        <v>0</v>
      </c>
      <c r="S77" s="21">
        <f>COUNTIFS('Data-TED-1'!$AH:$AH,R$1,'Data-TED-1'!$I:$I,"Average (60%)")</f>
        <v>0</v>
      </c>
      <c r="T77" s="27" t="str">
        <f t="shared" si="242"/>
        <v/>
      </c>
      <c r="U77" s="21">
        <f t="shared" ref="U77:U79" si="256">U76</f>
        <v>0</v>
      </c>
      <c r="V77" s="21">
        <f>COUNTIFS('Data-TED-1'!$AH:$AH,U$1,'Data-TED-1'!$I:$I,"Average (60%)")</f>
        <v>0</v>
      </c>
      <c r="W77" s="27" t="str">
        <f t="shared" si="243"/>
        <v/>
      </c>
      <c r="X77" s="21">
        <f t="shared" ref="X77:X79" si="257">X76</f>
        <v>0</v>
      </c>
      <c r="Y77" s="21">
        <f>COUNTIFS('Data-TED-1'!$AH:$AH,X$1,'Data-TED-1'!$I:$I,"Average (60%)")</f>
        <v>0</v>
      </c>
      <c r="Z77" s="27" t="str">
        <f t="shared" si="244"/>
        <v/>
      </c>
      <c r="AA77" s="21">
        <f t="shared" ref="AA77:AA79" si="258">AA76</f>
        <v>0</v>
      </c>
      <c r="AB77" s="21">
        <f>COUNTIFS('Data-TED-1'!$AH:$AH,AA$1,'Data-TED-1'!$I:$I,"Average (60%)")</f>
        <v>0</v>
      </c>
      <c r="AC77" s="27" t="str">
        <f t="shared" si="245"/>
        <v/>
      </c>
      <c r="AD77" s="21">
        <f t="shared" ref="AD77:AD79" si="259">AD76</f>
        <v>1</v>
      </c>
      <c r="AE77" s="21">
        <f>COUNTIFS('Data-TED-1'!$AH:$AH,AD$1,'Data-TED-1'!$I:$I,"Average (60%)")</f>
        <v>0</v>
      </c>
      <c r="AF77" s="27">
        <f t="shared" si="246"/>
        <v>0</v>
      </c>
      <c r="AG77" s="21">
        <f t="shared" ref="AG77:AG79" si="260">AG76</f>
        <v>0</v>
      </c>
      <c r="AH77" s="21">
        <f>COUNTIFS('Data-TED-1'!$AH:$AH,AG$1,'Data-TED-1'!$I:$I,"Average (60%)")</f>
        <v>0</v>
      </c>
      <c r="AI77" s="27" t="str">
        <f t="shared" si="247"/>
        <v/>
      </c>
      <c r="AJ77" s="21">
        <f t="shared" ref="AJ77:AJ79" si="261">AJ76</f>
        <v>0</v>
      </c>
      <c r="AK77" s="21">
        <f>COUNTIFS('Data-TED-1'!$AH:$AH,AJ$1,'Data-TED-1'!$I:$I,"Average (60%)")</f>
        <v>0</v>
      </c>
      <c r="AL77" s="27" t="str">
        <f t="shared" si="248"/>
        <v/>
      </c>
      <c r="AM77" s="21">
        <f t="shared" ref="AM77:AM79" si="262">AM76</f>
        <v>0</v>
      </c>
      <c r="AN77" s="21">
        <f>COUNTIFS('Data-TED-1'!$AH:$AH,AM$1,'Data-TED-1'!$I:$I,"Average (60%)")</f>
        <v>0</v>
      </c>
      <c r="AO77" s="27" t="str">
        <f t="shared" si="249"/>
        <v/>
      </c>
    </row>
    <row r="78" spans="1:41" x14ac:dyDescent="0.3">
      <c r="A78" s="25"/>
      <c r="B78" s="33" t="s">
        <v>122</v>
      </c>
      <c r="C78" s="21">
        <f t="shared" si="250"/>
        <v>1</v>
      </c>
      <c r="D78" s="21">
        <f t="shared" si="238"/>
        <v>0</v>
      </c>
      <c r="E78" s="27">
        <f t="shared" si="187"/>
        <v>0</v>
      </c>
      <c r="F78" s="21">
        <f t="shared" si="251"/>
        <v>0</v>
      </c>
      <c r="G78" s="21">
        <f>COUNTIFS('Data-TED-1'!$AH:$AH,F$1,'Data-TED-1'!$I:$I,"Unsatisfactory (40%)")</f>
        <v>0</v>
      </c>
      <c r="H78" s="27" t="str">
        <f t="shared" si="188"/>
        <v/>
      </c>
      <c r="I78" s="21">
        <f t="shared" si="252"/>
        <v>0</v>
      </c>
      <c r="J78" s="21">
        <f>COUNTIFS('Data-TED-1'!$AH:$AH,I$1,'Data-TED-1'!$I:$I,"Unsatisfactory (40%)")</f>
        <v>0</v>
      </c>
      <c r="K78" s="27" t="str">
        <f t="shared" si="239"/>
        <v/>
      </c>
      <c r="L78" s="21">
        <f t="shared" si="253"/>
        <v>0</v>
      </c>
      <c r="M78" s="21">
        <f>COUNTIFS('Data-TED-1'!$AH:$AH,L$1,'Data-TED-1'!$I:$I,"Unsatisfactory (40%)")</f>
        <v>0</v>
      </c>
      <c r="N78" s="27" t="str">
        <f t="shared" si="240"/>
        <v/>
      </c>
      <c r="O78" s="21">
        <f t="shared" si="254"/>
        <v>0</v>
      </c>
      <c r="P78" s="21">
        <f>COUNTIFS('Data-TED-1'!$AH:$AH,O$1,'Data-TED-1'!$I:$I,"Unsatisfactory (40%)")</f>
        <v>0</v>
      </c>
      <c r="Q78" s="27" t="str">
        <f t="shared" si="241"/>
        <v/>
      </c>
      <c r="R78" s="21">
        <f t="shared" si="255"/>
        <v>0</v>
      </c>
      <c r="S78" s="21">
        <f>COUNTIFS('Data-TED-1'!$AH:$AH,R$1,'Data-TED-1'!$I:$I,"Unsatisfactory (40%)")</f>
        <v>0</v>
      </c>
      <c r="T78" s="27" t="str">
        <f t="shared" si="242"/>
        <v/>
      </c>
      <c r="U78" s="21">
        <f t="shared" si="256"/>
        <v>0</v>
      </c>
      <c r="V78" s="21">
        <f>COUNTIFS('Data-TED-1'!$AH:$AH,U$1,'Data-TED-1'!$I:$I,"Unsatisfactory (40%)")</f>
        <v>0</v>
      </c>
      <c r="W78" s="27" t="str">
        <f t="shared" si="243"/>
        <v/>
      </c>
      <c r="X78" s="21">
        <f t="shared" si="257"/>
        <v>0</v>
      </c>
      <c r="Y78" s="21">
        <f>COUNTIFS('Data-TED-1'!$AH:$AH,X$1,'Data-TED-1'!$I:$I,"Unsatisfactory (40%)")</f>
        <v>0</v>
      </c>
      <c r="Z78" s="27" t="str">
        <f t="shared" si="244"/>
        <v/>
      </c>
      <c r="AA78" s="21">
        <f t="shared" si="258"/>
        <v>0</v>
      </c>
      <c r="AB78" s="21">
        <f>COUNTIFS('Data-TED-1'!$AH:$AH,AA$1,'Data-TED-1'!$I:$I,"Unsatisfactory (40%)")</f>
        <v>0</v>
      </c>
      <c r="AC78" s="27" t="str">
        <f t="shared" si="245"/>
        <v/>
      </c>
      <c r="AD78" s="21">
        <f t="shared" si="259"/>
        <v>1</v>
      </c>
      <c r="AE78" s="21">
        <f>COUNTIFS('Data-TED-1'!$AH:$AH,AD$1,'Data-TED-1'!$I:$I,"Unsatisfactory (40%)")</f>
        <v>0</v>
      </c>
      <c r="AF78" s="27">
        <f t="shared" si="246"/>
        <v>0</v>
      </c>
      <c r="AG78" s="21">
        <f t="shared" si="260"/>
        <v>0</v>
      </c>
      <c r="AH78" s="21">
        <f>COUNTIFS('Data-TED-1'!$AH:$AH,AG$1,'Data-TED-1'!$I:$I,"Unsatisfactory (40%)")</f>
        <v>0</v>
      </c>
      <c r="AI78" s="27" t="str">
        <f t="shared" si="247"/>
        <v/>
      </c>
      <c r="AJ78" s="21">
        <f t="shared" si="261"/>
        <v>0</v>
      </c>
      <c r="AK78" s="21">
        <f>COUNTIFS('Data-TED-1'!$AH:$AH,AJ$1,'Data-TED-1'!$I:$I,"Unsatisfactory (40%)")</f>
        <v>0</v>
      </c>
      <c r="AL78" s="27" t="str">
        <f t="shared" si="248"/>
        <v/>
      </c>
      <c r="AM78" s="21">
        <f t="shared" si="262"/>
        <v>0</v>
      </c>
      <c r="AN78" s="21">
        <f>COUNTIFS('Data-TED-1'!$AH:$AH,AM$1,'Data-TED-1'!$I:$I,"Unsatisfactory (40%)")</f>
        <v>0</v>
      </c>
      <c r="AO78" s="27" t="str">
        <f t="shared" si="249"/>
        <v/>
      </c>
    </row>
    <row r="79" spans="1:41" x14ac:dyDescent="0.3">
      <c r="A79" s="25"/>
      <c r="B79" s="33" t="s">
        <v>123</v>
      </c>
      <c r="C79" s="21">
        <f t="shared" si="250"/>
        <v>1</v>
      </c>
      <c r="D79" s="21">
        <f t="shared" si="238"/>
        <v>0</v>
      </c>
      <c r="E79" s="27">
        <f t="shared" si="187"/>
        <v>0</v>
      </c>
      <c r="F79" s="21">
        <f t="shared" si="251"/>
        <v>0</v>
      </c>
      <c r="G79" s="21">
        <f>COUNTIFS('Data-TED-1'!$AH:$AH,F$1,'Data-TED-1'!$I:$I,"Very unsatisfactory (20%)")</f>
        <v>0</v>
      </c>
      <c r="H79" s="27" t="str">
        <f t="shared" si="188"/>
        <v/>
      </c>
      <c r="I79" s="21">
        <f t="shared" si="252"/>
        <v>0</v>
      </c>
      <c r="J79" s="21">
        <f>COUNTIFS('Data-TED-1'!$AH:$AH,I$1,'Data-TED-1'!$I:$I,"Very unsatisfactory (20%)")</f>
        <v>0</v>
      </c>
      <c r="K79" s="27" t="str">
        <f t="shared" si="239"/>
        <v/>
      </c>
      <c r="L79" s="21">
        <f t="shared" si="253"/>
        <v>0</v>
      </c>
      <c r="M79" s="21">
        <f>COUNTIFS('Data-TED-1'!$AH:$AH,L$1,'Data-TED-1'!$I:$I,"Very unsatisfactory (20%)")</f>
        <v>0</v>
      </c>
      <c r="N79" s="27" t="str">
        <f t="shared" si="240"/>
        <v/>
      </c>
      <c r="O79" s="21">
        <f t="shared" si="254"/>
        <v>0</v>
      </c>
      <c r="P79" s="21">
        <f>COUNTIFS('Data-TED-1'!$AH:$AH,O$1,'Data-TED-1'!$I:$I,"Very unsatisfactory (20%)")</f>
        <v>0</v>
      </c>
      <c r="Q79" s="27" t="str">
        <f t="shared" si="241"/>
        <v/>
      </c>
      <c r="R79" s="21">
        <f t="shared" si="255"/>
        <v>0</v>
      </c>
      <c r="S79" s="21">
        <f>COUNTIFS('Data-TED-1'!$AH:$AH,R$1,'Data-TED-1'!$I:$I,"Very unsatisfactory (20%)")</f>
        <v>0</v>
      </c>
      <c r="T79" s="27" t="str">
        <f t="shared" si="242"/>
        <v/>
      </c>
      <c r="U79" s="21">
        <f t="shared" si="256"/>
        <v>0</v>
      </c>
      <c r="V79" s="21">
        <f>COUNTIFS('Data-TED-1'!$AH:$AH,U$1,'Data-TED-1'!$I:$I,"Very unsatisfactory (20%)")</f>
        <v>0</v>
      </c>
      <c r="W79" s="27" t="str">
        <f t="shared" si="243"/>
        <v/>
      </c>
      <c r="X79" s="21">
        <f t="shared" si="257"/>
        <v>0</v>
      </c>
      <c r="Y79" s="21">
        <f>COUNTIFS('Data-TED-1'!$AH:$AH,X$1,'Data-TED-1'!$I:$I,"Very unsatisfactory (20%)")</f>
        <v>0</v>
      </c>
      <c r="Z79" s="27" t="str">
        <f t="shared" si="244"/>
        <v/>
      </c>
      <c r="AA79" s="21">
        <f t="shared" si="258"/>
        <v>0</v>
      </c>
      <c r="AB79" s="21">
        <f>COUNTIFS('Data-TED-1'!$AH:$AH,AA$1,'Data-TED-1'!$I:$I,"Very unsatisfactory (20%)")</f>
        <v>0</v>
      </c>
      <c r="AC79" s="27" t="str">
        <f t="shared" si="245"/>
        <v/>
      </c>
      <c r="AD79" s="21">
        <f t="shared" si="259"/>
        <v>1</v>
      </c>
      <c r="AE79" s="21">
        <f>COUNTIFS('Data-TED-1'!$AH:$AH,AD$1,'Data-TED-1'!$I:$I,"Very unsatisfactory (20%)")</f>
        <v>0</v>
      </c>
      <c r="AF79" s="27">
        <f t="shared" si="246"/>
        <v>0</v>
      </c>
      <c r="AG79" s="21">
        <f t="shared" si="260"/>
        <v>0</v>
      </c>
      <c r="AH79" s="21">
        <f>COUNTIFS('Data-TED-1'!$AH:$AH,AG$1,'Data-TED-1'!$I:$I,"Very unsatisfactory (20%)")</f>
        <v>0</v>
      </c>
      <c r="AI79" s="27" t="str">
        <f t="shared" si="247"/>
        <v/>
      </c>
      <c r="AJ79" s="21">
        <f t="shared" si="261"/>
        <v>0</v>
      </c>
      <c r="AK79" s="21">
        <f>COUNTIFS('Data-TED-1'!$AH:$AH,AJ$1,'Data-TED-1'!$I:$I,"Very unsatisfactory (20%)")</f>
        <v>0</v>
      </c>
      <c r="AL79" s="27" t="str">
        <f t="shared" si="248"/>
        <v/>
      </c>
      <c r="AM79" s="21">
        <f t="shared" si="262"/>
        <v>0</v>
      </c>
      <c r="AN79" s="21">
        <f>COUNTIFS('Data-TED-1'!$AH:$AH,AM$1,'Data-TED-1'!$I:$I,"Very unsatisfactory (20%)")</f>
        <v>0</v>
      </c>
      <c r="AO79" s="27" t="str">
        <f t="shared" si="249"/>
        <v/>
      </c>
    </row>
    <row r="80" spans="1:41" x14ac:dyDescent="0.3">
      <c r="A80" s="21">
        <v>14</v>
      </c>
      <c r="B80" s="22" t="s">
        <v>82</v>
      </c>
      <c r="C80" s="23"/>
      <c r="D80" s="21"/>
      <c r="E80" s="24"/>
      <c r="F80" s="23"/>
      <c r="G80" s="23"/>
      <c r="H80" s="24"/>
      <c r="I80" s="23"/>
      <c r="J80" s="23"/>
      <c r="K80" s="24"/>
      <c r="L80" s="23"/>
      <c r="M80" s="23"/>
      <c r="N80" s="24"/>
      <c r="O80" s="23"/>
      <c r="P80" s="23"/>
      <c r="Q80" s="24"/>
      <c r="R80" s="23"/>
      <c r="S80" s="23"/>
      <c r="T80" s="24"/>
      <c r="U80" s="23"/>
      <c r="V80" s="23"/>
      <c r="W80" s="24"/>
      <c r="X80" s="23"/>
      <c r="Y80" s="23"/>
      <c r="Z80" s="24"/>
      <c r="AA80" s="23"/>
      <c r="AB80" s="23"/>
      <c r="AC80" s="24"/>
      <c r="AD80" s="23"/>
      <c r="AE80" s="23"/>
      <c r="AF80" s="24"/>
      <c r="AG80" s="23"/>
      <c r="AH80" s="23"/>
      <c r="AI80" s="24"/>
      <c r="AJ80" s="23"/>
      <c r="AK80" s="23"/>
      <c r="AL80" s="24"/>
      <c r="AM80" s="23"/>
      <c r="AN80" s="23"/>
      <c r="AO80" s="24"/>
    </row>
    <row r="81" spans="1:41" x14ac:dyDescent="0.3">
      <c r="A81" s="25"/>
      <c r="B81" s="33" t="s">
        <v>119</v>
      </c>
      <c r="C81" s="21">
        <f>COUNTIF('Data-TED-1'!$J:$J,"&lt;&gt;" &amp; "")-1</f>
        <v>1</v>
      </c>
      <c r="D81" s="21">
        <f t="shared" ref="D81:D85" si="263">G81+J81+M81+P81+S81+V81+Y81+AB81+AE81+AH81+AK81+AN81</f>
        <v>0</v>
      </c>
      <c r="E81" s="27">
        <f t="shared" si="187"/>
        <v>0</v>
      </c>
      <c r="F81" s="21">
        <f>COUNTIFS('Data-TED-1'!$AH:$AH,F$1,'Data-TED-1'!$J:$J,"&lt;&gt;" &amp; "")</f>
        <v>0</v>
      </c>
      <c r="G81" s="21">
        <f>COUNTIFS('Data-TED-1'!$AH:$AH,F$1,'Data-TED-1'!$J:$J,"Very satisfactory (100%)")</f>
        <v>0</v>
      </c>
      <c r="H81" s="27" t="str">
        <f t="shared" si="188"/>
        <v/>
      </c>
      <c r="I81" s="21">
        <f>COUNTIFS('Data-TED-1'!$AH:$AH,I$1,'Data-TED-1'!$J:$J,"&lt;&gt;" &amp; "")</f>
        <v>0</v>
      </c>
      <c r="J81" s="21">
        <f>COUNTIFS('Data-TED-1'!$AH:$AH,I$1,'Data-TED-1'!$J:$J,"Very satisfactory (100%)")</f>
        <v>0</v>
      </c>
      <c r="K81" s="27" t="str">
        <f t="shared" ref="K81:K85" si="264">IF(I81 &lt;&gt; 0,J81/I81,"")</f>
        <v/>
      </c>
      <c r="L81" s="21">
        <f>COUNTIFS('Data-TED-1'!$AH:$AH,L$1,'Data-TED-1'!$J:$J,"&lt;&gt;" &amp; "")</f>
        <v>0</v>
      </c>
      <c r="M81" s="21">
        <f>COUNTIFS('Data-TED-1'!$AH:$AH,L$1,'Data-TED-1'!$J:$J,"Very satisfactory (100%)")</f>
        <v>0</v>
      </c>
      <c r="N81" s="27" t="str">
        <f t="shared" ref="N81:N85" si="265">IF(L81 &lt;&gt; 0,M81/L81,"")</f>
        <v/>
      </c>
      <c r="O81" s="21">
        <f>COUNTIFS('Data-TED-1'!$AH:$AH,O$1,'Data-TED-1'!$J:$J,"&lt;&gt;" &amp; "")</f>
        <v>0</v>
      </c>
      <c r="P81" s="21">
        <f>COUNTIFS('Data-TED-1'!$AH:$AH,O$1,'Data-TED-1'!$J:$J,"Very satisfactory (100%)")</f>
        <v>0</v>
      </c>
      <c r="Q81" s="27" t="str">
        <f t="shared" ref="Q81:Q85" si="266">IF(O81 &lt;&gt; 0,P81/O81,"")</f>
        <v/>
      </c>
      <c r="R81" s="21">
        <f>COUNTIFS('Data-TED-1'!$AH:$AH,R$1,'Data-TED-1'!$J:$J,"&lt;&gt;" &amp; "")</f>
        <v>0</v>
      </c>
      <c r="S81" s="21">
        <f>COUNTIFS('Data-TED-1'!$AH:$AH,R$1,'Data-TED-1'!$J:$J,"Very satisfactory (100%)")</f>
        <v>0</v>
      </c>
      <c r="T81" s="27" t="str">
        <f t="shared" ref="T81:T85" si="267">IF(R81 &lt;&gt; 0,S81/R81,"")</f>
        <v/>
      </c>
      <c r="U81" s="21">
        <f>COUNTIFS('Data-TED-1'!$AH:$AH,U$1,'Data-TED-1'!$J:$J,"&lt;&gt;" &amp; "")</f>
        <v>0</v>
      </c>
      <c r="V81" s="21">
        <f>COUNTIFS('Data-TED-1'!$AH:$AH,U$1,'Data-TED-1'!$J:$J,"Very satisfactory (100%)")</f>
        <v>0</v>
      </c>
      <c r="W81" s="27" t="str">
        <f t="shared" ref="W81:W85" si="268">IF(U81 &lt;&gt; 0,V81/U81,"")</f>
        <v/>
      </c>
      <c r="X81" s="21">
        <f>COUNTIFS('Data-TED-1'!$AH:$AH,X$1,'Data-TED-1'!$J:$J,"&lt;&gt;" &amp; "")</f>
        <v>0</v>
      </c>
      <c r="Y81" s="21">
        <f>COUNTIFS('Data-TED-1'!$AH:$AH,X$1,'Data-TED-1'!$J:$J,"Very satisfactory (100%)")</f>
        <v>0</v>
      </c>
      <c r="Z81" s="27" t="str">
        <f t="shared" ref="Z81:Z85" si="269">IF(X81 &lt;&gt; 0,Y81/X81,"")</f>
        <v/>
      </c>
      <c r="AA81" s="21">
        <f>COUNTIFS('Data-TED-1'!$AH:$AH,AA$1,'Data-TED-1'!$J:$J,"&lt;&gt;" &amp; "")</f>
        <v>0</v>
      </c>
      <c r="AB81" s="21">
        <f>COUNTIFS('Data-TED-1'!$AH:$AH,AA$1,'Data-TED-1'!$J:$J,"Very satisfactory (100%)")</f>
        <v>0</v>
      </c>
      <c r="AC81" s="27" t="str">
        <f t="shared" ref="AC81:AC85" si="270">IF(AA81 &lt;&gt; 0,AB81/AA81,"")</f>
        <v/>
      </c>
      <c r="AD81" s="21">
        <f>COUNTIFS('Data-TED-1'!$AH:$AH,AD$1,'Data-TED-1'!$J:$J,"&lt;&gt;" &amp; "")</f>
        <v>1</v>
      </c>
      <c r="AE81" s="21">
        <f>COUNTIFS('Data-TED-1'!$AH:$AH,AD$1,'Data-TED-1'!$J:$J,"Very satisfactory (100%)")</f>
        <v>0</v>
      </c>
      <c r="AF81" s="27">
        <f t="shared" ref="AF81:AF85" si="271">IF(AD81 &lt;&gt; 0,AE81/AD81,"")</f>
        <v>0</v>
      </c>
      <c r="AG81" s="21">
        <f>COUNTIFS('Data-TED-1'!$AH:$AH,AG$1,'Data-TED-1'!$J:$J,"&lt;&gt;" &amp; "")</f>
        <v>0</v>
      </c>
      <c r="AH81" s="21">
        <f>COUNTIFS('Data-TED-1'!$AH:$AH,AG$1,'Data-TED-1'!$J:$J,"Very satisfactory (100%)")</f>
        <v>0</v>
      </c>
      <c r="AI81" s="27" t="str">
        <f t="shared" ref="AI81:AI85" si="272">IF(AG81 &lt;&gt; 0,AH81/AG81,"")</f>
        <v/>
      </c>
      <c r="AJ81" s="21">
        <f>COUNTIFS('Data-TED-1'!$AH:$AH,AJ$1,'Data-TED-1'!$J:$J,"&lt;&gt;" &amp; "")</f>
        <v>0</v>
      </c>
      <c r="AK81" s="21">
        <f>COUNTIFS('Data-TED-1'!$AH:$AH,AJ$1,'Data-TED-1'!$J:$J,"Very satisfactory (100%)")</f>
        <v>0</v>
      </c>
      <c r="AL81" s="27" t="str">
        <f t="shared" ref="AL81:AL85" si="273">IF(AJ81 &lt;&gt; 0,AK81/AJ81,"")</f>
        <v/>
      </c>
      <c r="AM81" s="21">
        <f>COUNTIFS('Data-TED-1'!$AH:$AH,AM$1,'Data-TED-1'!$J:$J,"&lt;&gt;" &amp; "")</f>
        <v>0</v>
      </c>
      <c r="AN81" s="21">
        <f>COUNTIFS('Data-TED-1'!$AH:$AH,AM$1,'Data-TED-1'!$J:$J,"Very satisfactory (100%)")</f>
        <v>0</v>
      </c>
      <c r="AO81" s="27" t="str">
        <f t="shared" ref="AO81:AO85" si="274">IF(AM81 &lt;&gt; 0,AN81/AM81,"")</f>
        <v/>
      </c>
    </row>
    <row r="82" spans="1:41" x14ac:dyDescent="0.3">
      <c r="A82" s="25"/>
      <c r="B82" s="33" t="s">
        <v>120</v>
      </c>
      <c r="C82" s="21">
        <f>C81</f>
        <v>1</v>
      </c>
      <c r="D82" s="21">
        <f t="shared" si="263"/>
        <v>0</v>
      </c>
      <c r="E82" s="27">
        <f t="shared" si="187"/>
        <v>0</v>
      </c>
      <c r="F82" s="21">
        <f>F81</f>
        <v>0</v>
      </c>
      <c r="G82" s="21">
        <f>COUNTIFS('Data-TED-1'!$AH:$AH,F$1,'Data-TED-1'!$J:$J,"Satisfactory (80%)")</f>
        <v>0</v>
      </c>
      <c r="H82" s="27" t="str">
        <f t="shared" si="188"/>
        <v/>
      </c>
      <c r="I82" s="21">
        <f>I81</f>
        <v>0</v>
      </c>
      <c r="J82" s="21">
        <f>COUNTIFS('Data-TED-1'!$AH:$AH,I$1,'Data-TED-1'!$J:$J,"Satisfactory (80%)")</f>
        <v>0</v>
      </c>
      <c r="K82" s="27" t="str">
        <f t="shared" si="264"/>
        <v/>
      </c>
      <c r="L82" s="21">
        <f>L81</f>
        <v>0</v>
      </c>
      <c r="M82" s="21">
        <f>COUNTIFS('Data-TED-1'!$AH:$AH,L$1,'Data-TED-1'!$J:$J,"Satisfactory (80%)")</f>
        <v>0</v>
      </c>
      <c r="N82" s="27" t="str">
        <f t="shared" si="265"/>
        <v/>
      </c>
      <c r="O82" s="21">
        <f>O81</f>
        <v>0</v>
      </c>
      <c r="P82" s="21">
        <f>COUNTIFS('Data-TED-1'!$AH:$AH,O$1,'Data-TED-1'!$J:$J,"Satisfactory (80%)")</f>
        <v>0</v>
      </c>
      <c r="Q82" s="27" t="str">
        <f t="shared" si="266"/>
        <v/>
      </c>
      <c r="R82" s="21">
        <f>R81</f>
        <v>0</v>
      </c>
      <c r="S82" s="21">
        <f>COUNTIFS('Data-TED-1'!$AH:$AH,R$1,'Data-TED-1'!$J:$J,"Satisfactory (80%)")</f>
        <v>0</v>
      </c>
      <c r="T82" s="27" t="str">
        <f t="shared" si="267"/>
        <v/>
      </c>
      <c r="U82" s="21">
        <f>U81</f>
        <v>0</v>
      </c>
      <c r="V82" s="21">
        <f>COUNTIFS('Data-TED-1'!$AH:$AH,U$1,'Data-TED-1'!$J:$J,"Satisfactory (80%)")</f>
        <v>0</v>
      </c>
      <c r="W82" s="27" t="str">
        <f t="shared" si="268"/>
        <v/>
      </c>
      <c r="X82" s="21">
        <f>X81</f>
        <v>0</v>
      </c>
      <c r="Y82" s="21">
        <f>COUNTIFS('Data-TED-1'!$AH:$AH,X$1,'Data-TED-1'!$J:$J,"Satisfactory (80%)")</f>
        <v>0</v>
      </c>
      <c r="Z82" s="27" t="str">
        <f t="shared" si="269"/>
        <v/>
      </c>
      <c r="AA82" s="21">
        <f>AA81</f>
        <v>0</v>
      </c>
      <c r="AB82" s="21">
        <f>COUNTIFS('Data-TED-1'!$AH:$AH,AA$1,'Data-TED-1'!$J:$J,"Satisfactory (80%)")</f>
        <v>0</v>
      </c>
      <c r="AC82" s="27" t="str">
        <f t="shared" si="270"/>
        <v/>
      </c>
      <c r="AD82" s="21">
        <f>AD81</f>
        <v>1</v>
      </c>
      <c r="AE82" s="21">
        <f>COUNTIFS('Data-TED-1'!$AH:$AH,AD$1,'Data-TED-1'!$J:$J,"Satisfactory (80%)")</f>
        <v>0</v>
      </c>
      <c r="AF82" s="27">
        <f t="shared" si="271"/>
        <v>0</v>
      </c>
      <c r="AG82" s="21">
        <f>AG81</f>
        <v>0</v>
      </c>
      <c r="AH82" s="21">
        <f>COUNTIFS('Data-TED-1'!$AH:$AH,AG$1,'Data-TED-1'!$J:$J,"Satisfactory (80%)")</f>
        <v>0</v>
      </c>
      <c r="AI82" s="27" t="str">
        <f t="shared" si="272"/>
        <v/>
      </c>
      <c r="AJ82" s="21">
        <f>AJ81</f>
        <v>0</v>
      </c>
      <c r="AK82" s="21">
        <f>COUNTIFS('Data-TED-1'!$AH:$AH,AJ$1,'Data-TED-1'!$J:$J,"Satisfactory (80%)")</f>
        <v>0</v>
      </c>
      <c r="AL82" s="27" t="str">
        <f t="shared" si="273"/>
        <v/>
      </c>
      <c r="AM82" s="21">
        <f>AM81</f>
        <v>0</v>
      </c>
      <c r="AN82" s="21">
        <f>COUNTIFS('Data-TED-1'!$AH:$AH,AM$1,'Data-TED-1'!$J:$J,"Satisfactory (80%)")</f>
        <v>0</v>
      </c>
      <c r="AO82" s="27" t="str">
        <f t="shared" si="274"/>
        <v/>
      </c>
    </row>
    <row r="83" spans="1:41" x14ac:dyDescent="0.3">
      <c r="A83" s="25"/>
      <c r="B83" s="33" t="s">
        <v>121</v>
      </c>
      <c r="C83" s="21">
        <f t="shared" ref="C83:C85" si="275">C82</f>
        <v>1</v>
      </c>
      <c r="D83" s="21">
        <f t="shared" si="263"/>
        <v>1</v>
      </c>
      <c r="E83" s="27">
        <f t="shared" si="187"/>
        <v>1</v>
      </c>
      <c r="F83" s="21">
        <f t="shared" ref="F83:F85" si="276">F82</f>
        <v>0</v>
      </c>
      <c r="G83" s="21">
        <f>COUNTIFS('Data-TED-1'!$AH:$AH,F$1,'Data-TED-1'!$J:$J,"Average (60%)")</f>
        <v>0</v>
      </c>
      <c r="H83" s="27" t="str">
        <f t="shared" si="188"/>
        <v/>
      </c>
      <c r="I83" s="21">
        <f t="shared" ref="I83:I85" si="277">I82</f>
        <v>0</v>
      </c>
      <c r="J83" s="21">
        <f>COUNTIFS('Data-TED-1'!$AH:$AH,I$1,'Data-TED-1'!$J:$J,"Average (60%)")</f>
        <v>0</v>
      </c>
      <c r="K83" s="27" t="str">
        <f t="shared" si="264"/>
        <v/>
      </c>
      <c r="L83" s="21">
        <f t="shared" ref="L83:L85" si="278">L82</f>
        <v>0</v>
      </c>
      <c r="M83" s="21">
        <f>COUNTIFS('Data-TED-1'!$AH:$AH,L$1,'Data-TED-1'!$J:$J,"Average (60%)")</f>
        <v>0</v>
      </c>
      <c r="N83" s="27" t="str">
        <f t="shared" si="265"/>
        <v/>
      </c>
      <c r="O83" s="21">
        <f t="shared" ref="O83:O85" si="279">O82</f>
        <v>0</v>
      </c>
      <c r="P83" s="21">
        <f>COUNTIFS('Data-TED-1'!$AH:$AH,O$1,'Data-TED-1'!$J:$J,"Average (60%)")</f>
        <v>0</v>
      </c>
      <c r="Q83" s="27" t="str">
        <f t="shared" si="266"/>
        <v/>
      </c>
      <c r="R83" s="21">
        <f t="shared" ref="R83:R85" si="280">R82</f>
        <v>0</v>
      </c>
      <c r="S83" s="21">
        <f>COUNTIFS('Data-TED-1'!$AH:$AH,R$1,'Data-TED-1'!$J:$J,"Average (60%)")</f>
        <v>0</v>
      </c>
      <c r="T83" s="27" t="str">
        <f t="shared" si="267"/>
        <v/>
      </c>
      <c r="U83" s="21">
        <f t="shared" ref="U83:U85" si="281">U82</f>
        <v>0</v>
      </c>
      <c r="V83" s="21">
        <f>COUNTIFS('Data-TED-1'!$AH:$AH,U$1,'Data-TED-1'!$J:$J,"Average (60%)")</f>
        <v>0</v>
      </c>
      <c r="W83" s="27" t="str">
        <f t="shared" si="268"/>
        <v/>
      </c>
      <c r="X83" s="21">
        <f t="shared" ref="X83:X85" si="282">X82</f>
        <v>0</v>
      </c>
      <c r="Y83" s="21">
        <f>COUNTIFS('Data-TED-1'!$AH:$AH,X$1,'Data-TED-1'!$J:$J,"Average (60%)")</f>
        <v>0</v>
      </c>
      <c r="Z83" s="27" t="str">
        <f t="shared" si="269"/>
        <v/>
      </c>
      <c r="AA83" s="21">
        <f t="shared" ref="AA83:AA85" si="283">AA82</f>
        <v>0</v>
      </c>
      <c r="AB83" s="21">
        <f>COUNTIFS('Data-TED-1'!$AH:$AH,AA$1,'Data-TED-1'!$J:$J,"Average (60%)")</f>
        <v>0</v>
      </c>
      <c r="AC83" s="27" t="str">
        <f t="shared" si="270"/>
        <v/>
      </c>
      <c r="AD83" s="21">
        <f t="shared" ref="AD83:AD85" si="284">AD82</f>
        <v>1</v>
      </c>
      <c r="AE83" s="21">
        <f>COUNTIFS('Data-TED-1'!$AH:$AH,AD$1,'Data-TED-1'!$J:$J,"Average (60%)")</f>
        <v>1</v>
      </c>
      <c r="AF83" s="27">
        <f t="shared" si="271"/>
        <v>1</v>
      </c>
      <c r="AG83" s="21">
        <f t="shared" ref="AG83:AG85" si="285">AG82</f>
        <v>0</v>
      </c>
      <c r="AH83" s="21">
        <f>COUNTIFS('Data-TED-1'!$AH:$AH,AG$1,'Data-TED-1'!$J:$J,"Average (60%)")</f>
        <v>0</v>
      </c>
      <c r="AI83" s="27" t="str">
        <f t="shared" si="272"/>
        <v/>
      </c>
      <c r="AJ83" s="21">
        <f t="shared" ref="AJ83:AJ85" si="286">AJ82</f>
        <v>0</v>
      </c>
      <c r="AK83" s="21">
        <f>COUNTIFS('Data-TED-1'!$AH:$AH,AJ$1,'Data-TED-1'!$J:$J,"Average (60%)")</f>
        <v>0</v>
      </c>
      <c r="AL83" s="27" t="str">
        <f t="shared" si="273"/>
        <v/>
      </c>
      <c r="AM83" s="21">
        <f t="shared" ref="AM83:AM85" si="287">AM82</f>
        <v>0</v>
      </c>
      <c r="AN83" s="21">
        <f>COUNTIFS('Data-TED-1'!$AH:$AH,AM$1,'Data-TED-1'!$J:$J,"Average (60%)")</f>
        <v>0</v>
      </c>
      <c r="AO83" s="27" t="str">
        <f t="shared" si="274"/>
        <v/>
      </c>
    </row>
    <row r="84" spans="1:41" x14ac:dyDescent="0.3">
      <c r="A84" s="25"/>
      <c r="B84" s="33" t="s">
        <v>122</v>
      </c>
      <c r="C84" s="21">
        <f t="shared" si="275"/>
        <v>1</v>
      </c>
      <c r="D84" s="21">
        <f t="shared" si="263"/>
        <v>0</v>
      </c>
      <c r="E84" s="27">
        <f t="shared" si="187"/>
        <v>0</v>
      </c>
      <c r="F84" s="21">
        <f t="shared" si="276"/>
        <v>0</v>
      </c>
      <c r="G84" s="21">
        <f>COUNTIFS('Data-TED-1'!$AH:$AH,F$1,'Data-TED-1'!$J:$J,"Unsatisfactory (40%)")</f>
        <v>0</v>
      </c>
      <c r="H84" s="27" t="str">
        <f t="shared" si="188"/>
        <v/>
      </c>
      <c r="I84" s="21">
        <f t="shared" si="277"/>
        <v>0</v>
      </c>
      <c r="J84" s="21">
        <f>COUNTIFS('Data-TED-1'!$AH:$AH,I$1,'Data-TED-1'!$J:$J,"Unsatisfactory (40%)")</f>
        <v>0</v>
      </c>
      <c r="K84" s="27" t="str">
        <f t="shared" si="264"/>
        <v/>
      </c>
      <c r="L84" s="21">
        <f t="shared" si="278"/>
        <v>0</v>
      </c>
      <c r="M84" s="21">
        <f>COUNTIFS('Data-TED-1'!$AH:$AH,L$1,'Data-TED-1'!$J:$J,"Unsatisfactory (40%)")</f>
        <v>0</v>
      </c>
      <c r="N84" s="27" t="str">
        <f t="shared" si="265"/>
        <v/>
      </c>
      <c r="O84" s="21">
        <f t="shared" si="279"/>
        <v>0</v>
      </c>
      <c r="P84" s="21">
        <f>COUNTIFS('Data-TED-1'!$AH:$AH,O$1,'Data-TED-1'!$J:$J,"Unsatisfactory (40%)")</f>
        <v>0</v>
      </c>
      <c r="Q84" s="27" t="str">
        <f t="shared" si="266"/>
        <v/>
      </c>
      <c r="R84" s="21">
        <f t="shared" si="280"/>
        <v>0</v>
      </c>
      <c r="S84" s="21">
        <f>COUNTIFS('Data-TED-1'!$AH:$AH,R$1,'Data-TED-1'!$J:$J,"Unsatisfactory (40%)")</f>
        <v>0</v>
      </c>
      <c r="T84" s="27" t="str">
        <f t="shared" si="267"/>
        <v/>
      </c>
      <c r="U84" s="21">
        <f t="shared" si="281"/>
        <v>0</v>
      </c>
      <c r="V84" s="21">
        <f>COUNTIFS('Data-TED-1'!$AH:$AH,U$1,'Data-TED-1'!$J:$J,"Unsatisfactory (40%)")</f>
        <v>0</v>
      </c>
      <c r="W84" s="27" t="str">
        <f t="shared" si="268"/>
        <v/>
      </c>
      <c r="X84" s="21">
        <f t="shared" si="282"/>
        <v>0</v>
      </c>
      <c r="Y84" s="21">
        <f>COUNTIFS('Data-TED-1'!$AH:$AH,X$1,'Data-TED-1'!$J:$J,"Unsatisfactory (40%)")</f>
        <v>0</v>
      </c>
      <c r="Z84" s="27" t="str">
        <f t="shared" si="269"/>
        <v/>
      </c>
      <c r="AA84" s="21">
        <f t="shared" si="283"/>
        <v>0</v>
      </c>
      <c r="AB84" s="21">
        <f>COUNTIFS('Data-TED-1'!$AH:$AH,AA$1,'Data-TED-1'!$J:$J,"Unsatisfactory (40%)")</f>
        <v>0</v>
      </c>
      <c r="AC84" s="27" t="str">
        <f t="shared" si="270"/>
        <v/>
      </c>
      <c r="AD84" s="21">
        <f t="shared" si="284"/>
        <v>1</v>
      </c>
      <c r="AE84" s="21">
        <f>COUNTIFS('Data-TED-1'!$AH:$AH,AD$1,'Data-TED-1'!$J:$J,"Unsatisfactory (40%)")</f>
        <v>0</v>
      </c>
      <c r="AF84" s="27">
        <f t="shared" si="271"/>
        <v>0</v>
      </c>
      <c r="AG84" s="21">
        <f t="shared" si="285"/>
        <v>0</v>
      </c>
      <c r="AH84" s="21">
        <f>COUNTIFS('Data-TED-1'!$AH:$AH,AG$1,'Data-TED-1'!$J:$J,"Unsatisfactory (40%)")</f>
        <v>0</v>
      </c>
      <c r="AI84" s="27" t="str">
        <f t="shared" si="272"/>
        <v/>
      </c>
      <c r="AJ84" s="21">
        <f t="shared" si="286"/>
        <v>0</v>
      </c>
      <c r="AK84" s="21">
        <f>COUNTIFS('Data-TED-1'!$AH:$AH,AJ$1,'Data-TED-1'!$J:$J,"Unsatisfactory (40%)")</f>
        <v>0</v>
      </c>
      <c r="AL84" s="27" t="str">
        <f t="shared" si="273"/>
        <v/>
      </c>
      <c r="AM84" s="21">
        <f t="shared" si="287"/>
        <v>0</v>
      </c>
      <c r="AN84" s="21">
        <f>COUNTIFS('Data-TED-1'!$AH:$AH,AM$1,'Data-TED-1'!$J:$J,"Unsatisfactory (40%)")</f>
        <v>0</v>
      </c>
      <c r="AO84" s="27" t="str">
        <f t="shared" si="274"/>
        <v/>
      </c>
    </row>
    <row r="85" spans="1:41" x14ac:dyDescent="0.3">
      <c r="A85" s="25"/>
      <c r="B85" s="33" t="s">
        <v>123</v>
      </c>
      <c r="C85" s="21">
        <f t="shared" si="275"/>
        <v>1</v>
      </c>
      <c r="D85" s="21">
        <f t="shared" si="263"/>
        <v>0</v>
      </c>
      <c r="E85" s="27">
        <f t="shared" si="187"/>
        <v>0</v>
      </c>
      <c r="F85" s="21">
        <f t="shared" si="276"/>
        <v>0</v>
      </c>
      <c r="G85" s="21">
        <f>COUNTIFS('Data-TED-1'!$AH:$AH,F$1,'Data-TED-1'!$J:$J,"Very unsatisfactory (20%)")</f>
        <v>0</v>
      </c>
      <c r="H85" s="27" t="str">
        <f t="shared" si="188"/>
        <v/>
      </c>
      <c r="I85" s="21">
        <f t="shared" si="277"/>
        <v>0</v>
      </c>
      <c r="J85" s="21">
        <f>COUNTIFS('Data-TED-1'!$AH:$AH,I$1,'Data-TED-1'!$J:$J,"Very unsatisfactory (20%)")</f>
        <v>0</v>
      </c>
      <c r="K85" s="27" t="str">
        <f t="shared" si="264"/>
        <v/>
      </c>
      <c r="L85" s="21">
        <f t="shared" si="278"/>
        <v>0</v>
      </c>
      <c r="M85" s="21">
        <f>COUNTIFS('Data-TED-1'!$AH:$AH,L$1,'Data-TED-1'!$J:$J,"Very unsatisfactory (20%)")</f>
        <v>0</v>
      </c>
      <c r="N85" s="27" t="str">
        <f t="shared" si="265"/>
        <v/>
      </c>
      <c r="O85" s="21">
        <f t="shared" si="279"/>
        <v>0</v>
      </c>
      <c r="P85" s="21">
        <f>COUNTIFS('Data-TED-1'!$AH:$AH,O$1,'Data-TED-1'!$J:$J,"Very unsatisfactory (20%)")</f>
        <v>0</v>
      </c>
      <c r="Q85" s="27" t="str">
        <f t="shared" si="266"/>
        <v/>
      </c>
      <c r="R85" s="21">
        <f t="shared" si="280"/>
        <v>0</v>
      </c>
      <c r="S85" s="21">
        <f>COUNTIFS('Data-TED-1'!$AH:$AH,R$1,'Data-TED-1'!$J:$J,"Very unsatisfactory (20%)")</f>
        <v>0</v>
      </c>
      <c r="T85" s="27" t="str">
        <f t="shared" si="267"/>
        <v/>
      </c>
      <c r="U85" s="21">
        <f t="shared" si="281"/>
        <v>0</v>
      </c>
      <c r="V85" s="21">
        <f>COUNTIFS('Data-TED-1'!$AH:$AH,U$1,'Data-TED-1'!$J:$J,"Very unsatisfactory (20%)")</f>
        <v>0</v>
      </c>
      <c r="W85" s="27" t="str">
        <f t="shared" si="268"/>
        <v/>
      </c>
      <c r="X85" s="21">
        <f t="shared" si="282"/>
        <v>0</v>
      </c>
      <c r="Y85" s="21">
        <f>COUNTIFS('Data-TED-1'!$AH:$AH,X$1,'Data-TED-1'!$J:$J,"Very unsatisfactory (20%)")</f>
        <v>0</v>
      </c>
      <c r="Z85" s="27" t="str">
        <f t="shared" si="269"/>
        <v/>
      </c>
      <c r="AA85" s="21">
        <f t="shared" si="283"/>
        <v>0</v>
      </c>
      <c r="AB85" s="21">
        <f>COUNTIFS('Data-TED-1'!$AH:$AH,AA$1,'Data-TED-1'!$J:$J,"Very unsatisfactory (20%)")</f>
        <v>0</v>
      </c>
      <c r="AC85" s="27" t="str">
        <f t="shared" si="270"/>
        <v/>
      </c>
      <c r="AD85" s="21">
        <f t="shared" si="284"/>
        <v>1</v>
      </c>
      <c r="AE85" s="21">
        <f>COUNTIFS('Data-TED-1'!$AH:$AH,AD$1,'Data-TED-1'!$J:$J,"Very unsatisfactory (20%)")</f>
        <v>0</v>
      </c>
      <c r="AF85" s="27">
        <f t="shared" si="271"/>
        <v>0</v>
      </c>
      <c r="AG85" s="21">
        <f t="shared" si="285"/>
        <v>0</v>
      </c>
      <c r="AH85" s="21">
        <f>COUNTIFS('Data-TED-1'!$AH:$AH,AG$1,'Data-TED-1'!$J:$J,"Very unsatisfactory (20%)")</f>
        <v>0</v>
      </c>
      <c r="AI85" s="27" t="str">
        <f t="shared" si="272"/>
        <v/>
      </c>
      <c r="AJ85" s="21">
        <f t="shared" si="286"/>
        <v>0</v>
      </c>
      <c r="AK85" s="21">
        <f>COUNTIFS('Data-TED-1'!$AH:$AH,AJ$1,'Data-TED-1'!$J:$J,"Very unsatisfactory (20%)")</f>
        <v>0</v>
      </c>
      <c r="AL85" s="27" t="str">
        <f t="shared" si="273"/>
        <v/>
      </c>
      <c r="AM85" s="21">
        <f t="shared" si="287"/>
        <v>0</v>
      </c>
      <c r="AN85" s="21">
        <f>COUNTIFS('Data-TED-1'!$AH:$AH,AM$1,'Data-TED-1'!$J:$J,"Very unsatisfactory (20%)")</f>
        <v>0</v>
      </c>
      <c r="AO85" s="27" t="str">
        <f t="shared" si="274"/>
        <v/>
      </c>
    </row>
    <row r="86" spans="1:41" x14ac:dyDescent="0.3">
      <c r="A86" s="21">
        <v>15</v>
      </c>
      <c r="B86" s="22" t="s">
        <v>83</v>
      </c>
      <c r="C86" s="23"/>
      <c r="D86" s="21"/>
      <c r="E86" s="24"/>
      <c r="F86" s="23"/>
      <c r="G86" s="23"/>
      <c r="H86" s="24"/>
      <c r="I86" s="23"/>
      <c r="J86" s="23"/>
      <c r="K86" s="24"/>
      <c r="L86" s="23"/>
      <c r="M86" s="23"/>
      <c r="N86" s="24"/>
      <c r="O86" s="23"/>
      <c r="P86" s="23"/>
      <c r="Q86" s="24"/>
      <c r="R86" s="23"/>
      <c r="S86" s="23"/>
      <c r="T86" s="24"/>
      <c r="U86" s="23"/>
      <c r="V86" s="23"/>
      <c r="W86" s="24"/>
      <c r="X86" s="23"/>
      <c r="Y86" s="23"/>
      <c r="Z86" s="24"/>
      <c r="AA86" s="23"/>
      <c r="AB86" s="23"/>
      <c r="AC86" s="24"/>
      <c r="AD86" s="23"/>
      <c r="AE86" s="23"/>
      <c r="AF86" s="24"/>
      <c r="AG86" s="23"/>
      <c r="AH86" s="23"/>
      <c r="AI86" s="24"/>
      <c r="AJ86" s="23"/>
      <c r="AK86" s="23"/>
      <c r="AL86" s="24"/>
      <c r="AM86" s="23"/>
      <c r="AN86" s="23"/>
      <c r="AO86" s="24"/>
    </row>
    <row r="87" spans="1:41" x14ac:dyDescent="0.3">
      <c r="A87" s="25"/>
      <c r="B87" s="33" t="s">
        <v>119</v>
      </c>
      <c r="C87" s="21">
        <f>COUNTIF('Data-TED-1'!$K:$K,"&lt;&gt;" &amp; "")-1</f>
        <v>1</v>
      </c>
      <c r="D87" s="21">
        <f t="shared" ref="D87:D91" si="288">G87+J87+M87+P87+S87+V87+Y87+AB87+AE87+AH87+AK87+AN87</f>
        <v>0</v>
      </c>
      <c r="E87" s="27">
        <f t="shared" si="187"/>
        <v>0</v>
      </c>
      <c r="F87" s="21">
        <f>COUNTIFS('Data-TED-1'!$AH:$AH,F$1,'Data-TED-1'!$K:$K,"&lt;&gt;" &amp; "")</f>
        <v>0</v>
      </c>
      <c r="G87" s="21">
        <f>COUNTIFS('Data-TED-1'!$AH:$AH,F$1,'Data-TED-1'!$K:$K,"Very satisfactory (100%)")</f>
        <v>0</v>
      </c>
      <c r="H87" s="27" t="str">
        <f t="shared" si="188"/>
        <v/>
      </c>
      <c r="I87" s="21">
        <f>COUNTIFS('Data-TED-1'!$AH:$AH,I$1,'Data-TED-1'!$K:$K,"&lt;&gt;" &amp; "")</f>
        <v>0</v>
      </c>
      <c r="J87" s="21">
        <f>COUNTIFS('Data-TED-1'!$AH:$AH,I$1,'Data-TED-1'!$K:$K,"Very satisfactory (100%)")</f>
        <v>0</v>
      </c>
      <c r="K87" s="27" t="str">
        <f t="shared" ref="K87:K91" si="289">IF(I87 &lt;&gt; 0,J87/I87,"")</f>
        <v/>
      </c>
      <c r="L87" s="21">
        <f>COUNTIFS('Data-TED-1'!$AH:$AH,L$1,'Data-TED-1'!$K:$K,"&lt;&gt;" &amp; "")</f>
        <v>0</v>
      </c>
      <c r="M87" s="21">
        <f>COUNTIFS('Data-TED-1'!$AH:$AH,L$1,'Data-TED-1'!$K:$K,"Very satisfactory (100%)")</f>
        <v>0</v>
      </c>
      <c r="N87" s="27" t="str">
        <f t="shared" ref="N87:N91" si="290">IF(L87 &lt;&gt; 0,M87/L87,"")</f>
        <v/>
      </c>
      <c r="O87" s="21">
        <f>COUNTIFS('Data-TED-1'!$AH:$AH,O$1,'Data-TED-1'!$K:$K,"&lt;&gt;" &amp; "")</f>
        <v>0</v>
      </c>
      <c r="P87" s="21">
        <f>COUNTIFS('Data-TED-1'!$AH:$AH,O$1,'Data-TED-1'!$K:$K,"Very satisfactory (100%)")</f>
        <v>0</v>
      </c>
      <c r="Q87" s="27" t="str">
        <f t="shared" ref="Q87:Q91" si="291">IF(O87 &lt;&gt; 0,P87/O87,"")</f>
        <v/>
      </c>
      <c r="R87" s="21">
        <f>COUNTIFS('Data-TED-1'!$AH:$AH,R$1,'Data-TED-1'!$K:$K,"&lt;&gt;" &amp; "")</f>
        <v>0</v>
      </c>
      <c r="S87" s="21">
        <f>COUNTIFS('Data-TED-1'!$AH:$AH,R$1,'Data-TED-1'!$K:$K,"Very satisfactory (100%)")</f>
        <v>0</v>
      </c>
      <c r="T87" s="27" t="str">
        <f t="shared" ref="T87:T91" si="292">IF(R87 &lt;&gt; 0,S87/R87,"")</f>
        <v/>
      </c>
      <c r="U87" s="21">
        <f>COUNTIFS('Data-TED-1'!$AH:$AH,U$1,'Data-TED-1'!$K:$K,"&lt;&gt;" &amp; "")</f>
        <v>0</v>
      </c>
      <c r="V87" s="21">
        <f>COUNTIFS('Data-TED-1'!$AH:$AH,U$1,'Data-TED-1'!$K:$K,"Very satisfactory (100%)")</f>
        <v>0</v>
      </c>
      <c r="W87" s="27" t="str">
        <f t="shared" ref="W87:W91" si="293">IF(U87 &lt;&gt; 0,V87/U87,"")</f>
        <v/>
      </c>
      <c r="X87" s="21">
        <f>COUNTIFS('Data-TED-1'!$AH:$AH,X$1,'Data-TED-1'!$K:$K,"&lt;&gt;" &amp; "")</f>
        <v>0</v>
      </c>
      <c r="Y87" s="21">
        <f>COUNTIFS('Data-TED-1'!$AH:$AH,X$1,'Data-TED-1'!$K:$K,"Very satisfactory (100%)")</f>
        <v>0</v>
      </c>
      <c r="Z87" s="27" t="str">
        <f t="shared" ref="Z87:Z91" si="294">IF(X87 &lt;&gt; 0,Y87/X87,"")</f>
        <v/>
      </c>
      <c r="AA87" s="21">
        <f>COUNTIFS('Data-TED-1'!$AH:$AH,AA$1,'Data-TED-1'!$K:$K,"&lt;&gt;" &amp; "")</f>
        <v>0</v>
      </c>
      <c r="AB87" s="21">
        <f>COUNTIFS('Data-TED-1'!$AH:$AH,AA$1,'Data-TED-1'!$K:$K,"Very satisfactory (100%)")</f>
        <v>0</v>
      </c>
      <c r="AC87" s="27" t="str">
        <f t="shared" ref="AC87:AC91" si="295">IF(AA87 &lt;&gt; 0,AB87/AA87,"")</f>
        <v/>
      </c>
      <c r="AD87" s="21">
        <f>COUNTIFS('Data-TED-1'!$AH:$AH,AD$1,'Data-TED-1'!$K:$K,"&lt;&gt;" &amp; "")</f>
        <v>1</v>
      </c>
      <c r="AE87" s="21">
        <f>COUNTIFS('Data-TED-1'!$AH:$AH,AD$1,'Data-TED-1'!$K:$K,"Very satisfactory (100%)")</f>
        <v>0</v>
      </c>
      <c r="AF87" s="27">
        <f t="shared" ref="AF87:AF91" si="296">IF(AD87 &lt;&gt; 0,AE87/AD87,"")</f>
        <v>0</v>
      </c>
      <c r="AG87" s="21">
        <f>COUNTIFS('Data-TED-1'!$AH:$AH,AG$1,'Data-TED-1'!$K:$K,"&lt;&gt;" &amp; "")</f>
        <v>0</v>
      </c>
      <c r="AH87" s="21">
        <f>COUNTIFS('Data-TED-1'!$AH:$AH,AG$1,'Data-TED-1'!$K:$K,"Very satisfactory (100%)")</f>
        <v>0</v>
      </c>
      <c r="AI87" s="27" t="str">
        <f t="shared" ref="AI87:AI91" si="297">IF(AG87 &lt;&gt; 0,AH87/AG87,"")</f>
        <v/>
      </c>
      <c r="AJ87" s="21">
        <f>COUNTIFS('Data-TED-1'!$AH:$AH,AJ$1,'Data-TED-1'!$K:$K,"&lt;&gt;" &amp; "")</f>
        <v>0</v>
      </c>
      <c r="AK87" s="21">
        <f>COUNTIFS('Data-TED-1'!$AH:$AH,AJ$1,'Data-TED-1'!$K:$K,"Very satisfactory (100%)")</f>
        <v>0</v>
      </c>
      <c r="AL87" s="27" t="str">
        <f t="shared" ref="AL87:AL91" si="298">IF(AJ87 &lt;&gt; 0,AK87/AJ87,"")</f>
        <v/>
      </c>
      <c r="AM87" s="21">
        <f>COUNTIFS('Data-TED-1'!$AH:$AH,AM$1,'Data-TED-1'!$K:$K,"&lt;&gt;" &amp; "")</f>
        <v>0</v>
      </c>
      <c r="AN87" s="21">
        <f>COUNTIFS('Data-TED-1'!$AH:$AH,AM$1,'Data-TED-1'!$K:$K,"Very satisfactory (100%)")</f>
        <v>0</v>
      </c>
      <c r="AO87" s="27" t="str">
        <f t="shared" ref="AO87:AO91" si="299">IF(AM87 &lt;&gt; 0,AN87/AM87,"")</f>
        <v/>
      </c>
    </row>
    <row r="88" spans="1:41" x14ac:dyDescent="0.3">
      <c r="A88" s="25"/>
      <c r="B88" s="33" t="s">
        <v>120</v>
      </c>
      <c r="C88" s="21">
        <f>C87</f>
        <v>1</v>
      </c>
      <c r="D88" s="21">
        <f t="shared" si="288"/>
        <v>1</v>
      </c>
      <c r="E88" s="27">
        <f t="shared" si="187"/>
        <v>1</v>
      </c>
      <c r="F88" s="21">
        <f>F87</f>
        <v>0</v>
      </c>
      <c r="G88" s="21">
        <f>COUNTIFS('Data-TED-1'!$AH:$AH,F$1,'Data-TED-1'!$K:$K,"Satisfactory (80%)")</f>
        <v>0</v>
      </c>
      <c r="H88" s="27" t="str">
        <f t="shared" si="188"/>
        <v/>
      </c>
      <c r="I88" s="21">
        <f>I87</f>
        <v>0</v>
      </c>
      <c r="J88" s="21">
        <f>COUNTIFS('Data-TED-1'!$AH:$AH,I$1,'Data-TED-1'!$K:$K,"Satisfactory (80%)")</f>
        <v>0</v>
      </c>
      <c r="K88" s="27" t="str">
        <f t="shared" si="289"/>
        <v/>
      </c>
      <c r="L88" s="21">
        <f>L87</f>
        <v>0</v>
      </c>
      <c r="M88" s="21">
        <f>COUNTIFS('Data-TED-1'!$AH:$AH,L$1,'Data-TED-1'!$K:$K,"Satisfactory (80%)")</f>
        <v>0</v>
      </c>
      <c r="N88" s="27" t="str">
        <f t="shared" si="290"/>
        <v/>
      </c>
      <c r="O88" s="21">
        <f>O87</f>
        <v>0</v>
      </c>
      <c r="P88" s="21">
        <f>COUNTIFS('Data-TED-1'!$AH:$AH,O$1,'Data-TED-1'!$K:$K,"Satisfactory (80%)")</f>
        <v>0</v>
      </c>
      <c r="Q88" s="27" t="str">
        <f t="shared" si="291"/>
        <v/>
      </c>
      <c r="R88" s="21">
        <f>R87</f>
        <v>0</v>
      </c>
      <c r="S88" s="21">
        <f>COUNTIFS('Data-TED-1'!$AH:$AH,R$1,'Data-TED-1'!$K:$K,"Satisfactory (80%)")</f>
        <v>0</v>
      </c>
      <c r="T88" s="27" t="str">
        <f t="shared" si="292"/>
        <v/>
      </c>
      <c r="U88" s="21">
        <f>U87</f>
        <v>0</v>
      </c>
      <c r="V88" s="21">
        <f>COUNTIFS('Data-TED-1'!$AH:$AH,U$1,'Data-TED-1'!$K:$K,"Satisfactory (80%)")</f>
        <v>0</v>
      </c>
      <c r="W88" s="27" t="str">
        <f t="shared" si="293"/>
        <v/>
      </c>
      <c r="X88" s="21">
        <f>X87</f>
        <v>0</v>
      </c>
      <c r="Y88" s="21">
        <f>COUNTIFS('Data-TED-1'!$AH:$AH,X$1,'Data-TED-1'!$K:$K,"Satisfactory (80%)")</f>
        <v>0</v>
      </c>
      <c r="Z88" s="27" t="str">
        <f t="shared" si="294"/>
        <v/>
      </c>
      <c r="AA88" s="21">
        <f>AA87</f>
        <v>0</v>
      </c>
      <c r="AB88" s="21">
        <f>COUNTIFS('Data-TED-1'!$AH:$AH,AA$1,'Data-TED-1'!$K:$K,"Satisfactory (80%)")</f>
        <v>0</v>
      </c>
      <c r="AC88" s="27" t="str">
        <f t="shared" si="295"/>
        <v/>
      </c>
      <c r="AD88" s="21">
        <f>AD87</f>
        <v>1</v>
      </c>
      <c r="AE88" s="21">
        <f>COUNTIFS('Data-TED-1'!$AH:$AH,AD$1,'Data-TED-1'!$K:$K,"Satisfactory (80%)")</f>
        <v>1</v>
      </c>
      <c r="AF88" s="27">
        <f t="shared" si="296"/>
        <v>1</v>
      </c>
      <c r="AG88" s="21">
        <f>AG87</f>
        <v>0</v>
      </c>
      <c r="AH88" s="21">
        <f>COUNTIFS('Data-TED-1'!$AH:$AH,AG$1,'Data-TED-1'!$K:$K,"Satisfactory (80%)")</f>
        <v>0</v>
      </c>
      <c r="AI88" s="27" t="str">
        <f t="shared" si="297"/>
        <v/>
      </c>
      <c r="AJ88" s="21">
        <f>AJ87</f>
        <v>0</v>
      </c>
      <c r="AK88" s="21">
        <f>COUNTIFS('Data-TED-1'!$AH:$AH,AJ$1,'Data-TED-1'!$K:$K,"Satisfactory (80%)")</f>
        <v>0</v>
      </c>
      <c r="AL88" s="27" t="str">
        <f t="shared" si="298"/>
        <v/>
      </c>
      <c r="AM88" s="21">
        <f>AM87</f>
        <v>0</v>
      </c>
      <c r="AN88" s="21">
        <f>COUNTIFS('Data-TED-1'!$AH:$AH,AM$1,'Data-TED-1'!$K:$K,"Satisfactory (80%)")</f>
        <v>0</v>
      </c>
      <c r="AO88" s="27" t="str">
        <f t="shared" si="299"/>
        <v/>
      </c>
    </row>
    <row r="89" spans="1:41" x14ac:dyDescent="0.3">
      <c r="A89" s="25"/>
      <c r="B89" s="33" t="s">
        <v>121</v>
      </c>
      <c r="C89" s="21">
        <f t="shared" ref="C89:C91" si="300">C88</f>
        <v>1</v>
      </c>
      <c r="D89" s="21">
        <f t="shared" si="288"/>
        <v>0</v>
      </c>
      <c r="E89" s="27">
        <f t="shared" si="187"/>
        <v>0</v>
      </c>
      <c r="F89" s="21">
        <f t="shared" ref="F89:F91" si="301">F88</f>
        <v>0</v>
      </c>
      <c r="G89" s="21">
        <f>COUNTIFS('Data-TED-1'!$AH:$AH,F$1,'Data-TED-1'!$K:$K,"Average (60%)")</f>
        <v>0</v>
      </c>
      <c r="H89" s="27" t="str">
        <f t="shared" si="188"/>
        <v/>
      </c>
      <c r="I89" s="21">
        <f t="shared" ref="I89:I91" si="302">I88</f>
        <v>0</v>
      </c>
      <c r="J89" s="21">
        <f>COUNTIFS('Data-TED-1'!$AH:$AH,I$1,'Data-TED-1'!$K:$K,"Average (60%)")</f>
        <v>0</v>
      </c>
      <c r="K89" s="27" t="str">
        <f t="shared" si="289"/>
        <v/>
      </c>
      <c r="L89" s="21">
        <f t="shared" ref="L89:L91" si="303">L88</f>
        <v>0</v>
      </c>
      <c r="M89" s="21">
        <f>COUNTIFS('Data-TED-1'!$AH:$AH,L$1,'Data-TED-1'!$K:$K,"Average (60%)")</f>
        <v>0</v>
      </c>
      <c r="N89" s="27" t="str">
        <f t="shared" si="290"/>
        <v/>
      </c>
      <c r="O89" s="21">
        <f t="shared" ref="O89:O91" si="304">O88</f>
        <v>0</v>
      </c>
      <c r="P89" s="21">
        <f>COUNTIFS('Data-TED-1'!$AH:$AH,O$1,'Data-TED-1'!$K:$K,"Average (60%)")</f>
        <v>0</v>
      </c>
      <c r="Q89" s="27" t="str">
        <f t="shared" si="291"/>
        <v/>
      </c>
      <c r="R89" s="21">
        <f t="shared" ref="R89:R91" si="305">R88</f>
        <v>0</v>
      </c>
      <c r="S89" s="21">
        <f>COUNTIFS('Data-TED-1'!$AH:$AH,R$1,'Data-TED-1'!$K:$K,"Average (60%)")</f>
        <v>0</v>
      </c>
      <c r="T89" s="27" t="str">
        <f t="shared" si="292"/>
        <v/>
      </c>
      <c r="U89" s="21">
        <f t="shared" ref="U89:U91" si="306">U88</f>
        <v>0</v>
      </c>
      <c r="V89" s="21">
        <f>COUNTIFS('Data-TED-1'!$AH:$AH,U$1,'Data-TED-1'!$K:$K,"Average (60%)")</f>
        <v>0</v>
      </c>
      <c r="W89" s="27" t="str">
        <f t="shared" si="293"/>
        <v/>
      </c>
      <c r="X89" s="21">
        <f t="shared" ref="X89:X91" si="307">X88</f>
        <v>0</v>
      </c>
      <c r="Y89" s="21">
        <f>COUNTIFS('Data-TED-1'!$AH:$AH,X$1,'Data-TED-1'!$K:$K,"Average (60%)")</f>
        <v>0</v>
      </c>
      <c r="Z89" s="27" t="str">
        <f t="shared" si="294"/>
        <v/>
      </c>
      <c r="AA89" s="21">
        <f t="shared" ref="AA89:AA91" si="308">AA88</f>
        <v>0</v>
      </c>
      <c r="AB89" s="21">
        <f>COUNTIFS('Data-TED-1'!$AH:$AH,AA$1,'Data-TED-1'!$K:$K,"Average (60%)")</f>
        <v>0</v>
      </c>
      <c r="AC89" s="27" t="str">
        <f t="shared" si="295"/>
        <v/>
      </c>
      <c r="AD89" s="21">
        <f t="shared" ref="AD89:AD91" si="309">AD88</f>
        <v>1</v>
      </c>
      <c r="AE89" s="21">
        <f>COUNTIFS('Data-TED-1'!$AH:$AH,AD$1,'Data-TED-1'!$K:$K,"Average (60%)")</f>
        <v>0</v>
      </c>
      <c r="AF89" s="27">
        <f t="shared" si="296"/>
        <v>0</v>
      </c>
      <c r="AG89" s="21">
        <f t="shared" ref="AG89:AG91" si="310">AG88</f>
        <v>0</v>
      </c>
      <c r="AH89" s="21">
        <f>COUNTIFS('Data-TED-1'!$AH:$AH,AG$1,'Data-TED-1'!$K:$K,"Average (60%)")</f>
        <v>0</v>
      </c>
      <c r="AI89" s="27" t="str">
        <f t="shared" si="297"/>
        <v/>
      </c>
      <c r="AJ89" s="21">
        <f t="shared" ref="AJ89:AJ91" si="311">AJ88</f>
        <v>0</v>
      </c>
      <c r="AK89" s="21">
        <f>COUNTIFS('Data-TED-1'!$AH:$AH,AJ$1,'Data-TED-1'!$K:$K,"Average (60%)")</f>
        <v>0</v>
      </c>
      <c r="AL89" s="27" t="str">
        <f t="shared" si="298"/>
        <v/>
      </c>
      <c r="AM89" s="21">
        <f t="shared" ref="AM89:AM91" si="312">AM88</f>
        <v>0</v>
      </c>
      <c r="AN89" s="21">
        <f>COUNTIFS('Data-TED-1'!$AH:$AH,AM$1,'Data-TED-1'!$K:$K,"Average (60%)")</f>
        <v>0</v>
      </c>
      <c r="AO89" s="27" t="str">
        <f t="shared" si="299"/>
        <v/>
      </c>
    </row>
    <row r="90" spans="1:41" x14ac:dyDescent="0.3">
      <c r="A90" s="25"/>
      <c r="B90" s="33" t="s">
        <v>122</v>
      </c>
      <c r="C90" s="21">
        <f t="shared" si="300"/>
        <v>1</v>
      </c>
      <c r="D90" s="21">
        <f t="shared" si="288"/>
        <v>0</v>
      </c>
      <c r="E90" s="27">
        <f t="shared" si="187"/>
        <v>0</v>
      </c>
      <c r="F90" s="21">
        <f t="shared" si="301"/>
        <v>0</v>
      </c>
      <c r="G90" s="21">
        <f>COUNTIFS('Data-TED-1'!$AH:$AH,F$1,'Data-TED-1'!$K:$K,"Unsatisfactory (40%)")</f>
        <v>0</v>
      </c>
      <c r="H90" s="27" t="str">
        <f t="shared" si="188"/>
        <v/>
      </c>
      <c r="I90" s="21">
        <f t="shared" si="302"/>
        <v>0</v>
      </c>
      <c r="J90" s="21">
        <f>COUNTIFS('Data-TED-1'!$AH:$AH,I$1,'Data-TED-1'!$K:$K,"Unsatisfactory (40%)")</f>
        <v>0</v>
      </c>
      <c r="K90" s="27" t="str">
        <f t="shared" si="289"/>
        <v/>
      </c>
      <c r="L90" s="21">
        <f t="shared" si="303"/>
        <v>0</v>
      </c>
      <c r="M90" s="21">
        <f>COUNTIFS('Data-TED-1'!$AH:$AH,L$1,'Data-TED-1'!$K:$K,"Unsatisfactory (40%)")</f>
        <v>0</v>
      </c>
      <c r="N90" s="27" t="str">
        <f t="shared" si="290"/>
        <v/>
      </c>
      <c r="O90" s="21">
        <f t="shared" si="304"/>
        <v>0</v>
      </c>
      <c r="P90" s="21">
        <f>COUNTIFS('Data-TED-1'!$AH:$AH,O$1,'Data-TED-1'!$K:$K,"Unsatisfactory (40%)")</f>
        <v>0</v>
      </c>
      <c r="Q90" s="27" t="str">
        <f t="shared" si="291"/>
        <v/>
      </c>
      <c r="R90" s="21">
        <f t="shared" si="305"/>
        <v>0</v>
      </c>
      <c r="S90" s="21">
        <f>COUNTIFS('Data-TED-1'!$AH:$AH,R$1,'Data-TED-1'!$K:$K,"Unsatisfactory (40%)")</f>
        <v>0</v>
      </c>
      <c r="T90" s="27" t="str">
        <f t="shared" si="292"/>
        <v/>
      </c>
      <c r="U90" s="21">
        <f t="shared" si="306"/>
        <v>0</v>
      </c>
      <c r="V90" s="21">
        <f>COUNTIFS('Data-TED-1'!$AH:$AH,U$1,'Data-TED-1'!$K:$K,"Unsatisfactory (40%)")</f>
        <v>0</v>
      </c>
      <c r="W90" s="27" t="str">
        <f t="shared" si="293"/>
        <v/>
      </c>
      <c r="X90" s="21">
        <f t="shared" si="307"/>
        <v>0</v>
      </c>
      <c r="Y90" s="21">
        <f>COUNTIFS('Data-TED-1'!$AH:$AH,X$1,'Data-TED-1'!$K:$K,"Unsatisfactory (40%)")</f>
        <v>0</v>
      </c>
      <c r="Z90" s="27" t="str">
        <f t="shared" si="294"/>
        <v/>
      </c>
      <c r="AA90" s="21">
        <f t="shared" si="308"/>
        <v>0</v>
      </c>
      <c r="AB90" s="21">
        <f>COUNTIFS('Data-TED-1'!$AH:$AH,AA$1,'Data-TED-1'!$K:$K,"Unsatisfactory (40%)")</f>
        <v>0</v>
      </c>
      <c r="AC90" s="27" t="str">
        <f t="shared" si="295"/>
        <v/>
      </c>
      <c r="AD90" s="21">
        <f t="shared" si="309"/>
        <v>1</v>
      </c>
      <c r="AE90" s="21">
        <f>COUNTIFS('Data-TED-1'!$AH:$AH,AD$1,'Data-TED-1'!$K:$K,"Unsatisfactory (40%)")</f>
        <v>0</v>
      </c>
      <c r="AF90" s="27">
        <f t="shared" si="296"/>
        <v>0</v>
      </c>
      <c r="AG90" s="21">
        <f t="shared" si="310"/>
        <v>0</v>
      </c>
      <c r="AH90" s="21">
        <f>COUNTIFS('Data-TED-1'!$AH:$AH,AG$1,'Data-TED-1'!$K:$K,"Unsatisfactory (40%)")</f>
        <v>0</v>
      </c>
      <c r="AI90" s="27" t="str">
        <f t="shared" si="297"/>
        <v/>
      </c>
      <c r="AJ90" s="21">
        <f t="shared" si="311"/>
        <v>0</v>
      </c>
      <c r="AK90" s="21">
        <f>COUNTIFS('Data-TED-1'!$AH:$AH,AJ$1,'Data-TED-1'!$K:$K,"Unsatisfactory (40%)")</f>
        <v>0</v>
      </c>
      <c r="AL90" s="27" t="str">
        <f t="shared" si="298"/>
        <v/>
      </c>
      <c r="AM90" s="21">
        <f t="shared" si="312"/>
        <v>0</v>
      </c>
      <c r="AN90" s="21">
        <f>COUNTIFS('Data-TED-1'!$AH:$AH,AM$1,'Data-TED-1'!$K:$K,"Unsatisfactory (40%)")</f>
        <v>0</v>
      </c>
      <c r="AO90" s="27" t="str">
        <f t="shared" si="299"/>
        <v/>
      </c>
    </row>
    <row r="91" spans="1:41" x14ac:dyDescent="0.3">
      <c r="A91" s="25"/>
      <c r="B91" s="33" t="s">
        <v>123</v>
      </c>
      <c r="C91" s="21">
        <f t="shared" si="300"/>
        <v>1</v>
      </c>
      <c r="D91" s="21">
        <f t="shared" si="288"/>
        <v>0</v>
      </c>
      <c r="E91" s="27">
        <f t="shared" si="187"/>
        <v>0</v>
      </c>
      <c r="F91" s="21">
        <f t="shared" si="301"/>
        <v>0</v>
      </c>
      <c r="G91" s="21">
        <f>COUNTIFS('Data-TED-1'!$AH:$AH,F$1,'Data-TED-1'!$K:$K,"Very unsatisfactory (20%)")</f>
        <v>0</v>
      </c>
      <c r="H91" s="27" t="str">
        <f t="shared" si="188"/>
        <v/>
      </c>
      <c r="I91" s="21">
        <f t="shared" si="302"/>
        <v>0</v>
      </c>
      <c r="J91" s="21">
        <f>COUNTIFS('Data-TED-1'!$AH:$AH,I$1,'Data-TED-1'!$K:$K,"Very unsatisfactory (20%)")</f>
        <v>0</v>
      </c>
      <c r="K91" s="27" t="str">
        <f t="shared" si="289"/>
        <v/>
      </c>
      <c r="L91" s="21">
        <f t="shared" si="303"/>
        <v>0</v>
      </c>
      <c r="M91" s="21">
        <f>COUNTIFS('Data-TED-1'!$AH:$AH,L$1,'Data-TED-1'!$K:$K,"Very unsatisfactory (20%)")</f>
        <v>0</v>
      </c>
      <c r="N91" s="27" t="str">
        <f t="shared" si="290"/>
        <v/>
      </c>
      <c r="O91" s="21">
        <f t="shared" si="304"/>
        <v>0</v>
      </c>
      <c r="P91" s="21">
        <f>COUNTIFS('Data-TED-1'!$AH:$AH,O$1,'Data-TED-1'!$K:$K,"Very unsatisfactory (20%)")</f>
        <v>0</v>
      </c>
      <c r="Q91" s="27" t="str">
        <f t="shared" si="291"/>
        <v/>
      </c>
      <c r="R91" s="21">
        <f t="shared" si="305"/>
        <v>0</v>
      </c>
      <c r="S91" s="21">
        <f>COUNTIFS('Data-TED-1'!$AH:$AH,R$1,'Data-TED-1'!$K:$K,"Very unsatisfactory (20%)")</f>
        <v>0</v>
      </c>
      <c r="T91" s="27" t="str">
        <f t="shared" si="292"/>
        <v/>
      </c>
      <c r="U91" s="21">
        <f t="shared" si="306"/>
        <v>0</v>
      </c>
      <c r="V91" s="21">
        <f>COUNTIFS('Data-TED-1'!$AH:$AH,U$1,'Data-TED-1'!$K:$K,"Very unsatisfactory (20%)")</f>
        <v>0</v>
      </c>
      <c r="W91" s="27" t="str">
        <f t="shared" si="293"/>
        <v/>
      </c>
      <c r="X91" s="21">
        <f t="shared" si="307"/>
        <v>0</v>
      </c>
      <c r="Y91" s="21">
        <f>COUNTIFS('Data-TED-1'!$AH:$AH,X$1,'Data-TED-1'!$K:$K,"Very unsatisfactory (20%)")</f>
        <v>0</v>
      </c>
      <c r="Z91" s="27" t="str">
        <f t="shared" si="294"/>
        <v/>
      </c>
      <c r="AA91" s="21">
        <f t="shared" si="308"/>
        <v>0</v>
      </c>
      <c r="AB91" s="21">
        <f>COUNTIFS('Data-TED-1'!$AH:$AH,AA$1,'Data-TED-1'!$K:$K,"Very unsatisfactory (20%)")</f>
        <v>0</v>
      </c>
      <c r="AC91" s="27" t="str">
        <f t="shared" si="295"/>
        <v/>
      </c>
      <c r="AD91" s="21">
        <f t="shared" si="309"/>
        <v>1</v>
      </c>
      <c r="AE91" s="21">
        <f>COUNTIFS('Data-TED-1'!$AH:$AH,AD$1,'Data-TED-1'!$K:$K,"Very unsatisfactory (20%)")</f>
        <v>0</v>
      </c>
      <c r="AF91" s="27">
        <f t="shared" si="296"/>
        <v>0</v>
      </c>
      <c r="AG91" s="21">
        <f t="shared" si="310"/>
        <v>0</v>
      </c>
      <c r="AH91" s="21">
        <f>COUNTIFS('Data-TED-1'!$AH:$AH,AG$1,'Data-TED-1'!$K:$K,"Very unsatisfactory (20%)")</f>
        <v>0</v>
      </c>
      <c r="AI91" s="27" t="str">
        <f t="shared" si="297"/>
        <v/>
      </c>
      <c r="AJ91" s="21">
        <f t="shared" si="311"/>
        <v>0</v>
      </c>
      <c r="AK91" s="21">
        <f>COUNTIFS('Data-TED-1'!$AH:$AH,AJ$1,'Data-TED-1'!$K:$K,"Very unsatisfactory (20%)")</f>
        <v>0</v>
      </c>
      <c r="AL91" s="27" t="str">
        <f t="shared" si="298"/>
        <v/>
      </c>
      <c r="AM91" s="21">
        <f t="shared" si="312"/>
        <v>0</v>
      </c>
      <c r="AN91" s="21">
        <f>COUNTIFS('Data-TED-1'!$AH:$AH,AM$1,'Data-TED-1'!$K:$K,"Very unsatisfactory (20%)")</f>
        <v>0</v>
      </c>
      <c r="AO91" s="27" t="str">
        <f t="shared" si="299"/>
        <v/>
      </c>
    </row>
    <row r="92" spans="1:41" x14ac:dyDescent="0.3">
      <c r="A92" s="21">
        <v>16</v>
      </c>
      <c r="B92" s="22" t="s">
        <v>84</v>
      </c>
      <c r="C92" s="23"/>
      <c r="D92" s="21"/>
      <c r="E92" s="24"/>
      <c r="F92" s="23"/>
      <c r="G92" s="23"/>
      <c r="H92" s="24"/>
      <c r="I92" s="23"/>
      <c r="J92" s="23"/>
      <c r="K92" s="24"/>
      <c r="L92" s="23"/>
      <c r="M92" s="23"/>
      <c r="N92" s="24"/>
      <c r="O92" s="23"/>
      <c r="P92" s="23"/>
      <c r="Q92" s="24"/>
      <c r="R92" s="23"/>
      <c r="S92" s="23"/>
      <c r="T92" s="24"/>
      <c r="U92" s="23"/>
      <c r="V92" s="23"/>
      <c r="W92" s="24"/>
      <c r="X92" s="23"/>
      <c r="Y92" s="23"/>
      <c r="Z92" s="24"/>
      <c r="AA92" s="23"/>
      <c r="AB92" s="23"/>
      <c r="AC92" s="24"/>
      <c r="AD92" s="23"/>
      <c r="AE92" s="23"/>
      <c r="AF92" s="24"/>
      <c r="AG92" s="23"/>
      <c r="AH92" s="23"/>
      <c r="AI92" s="24"/>
      <c r="AJ92" s="23"/>
      <c r="AK92" s="23"/>
      <c r="AL92" s="24"/>
      <c r="AM92" s="23"/>
      <c r="AN92" s="23"/>
      <c r="AO92" s="24"/>
    </row>
    <row r="93" spans="1:41" x14ac:dyDescent="0.3">
      <c r="A93" s="25"/>
      <c r="B93" s="33" t="s">
        <v>119</v>
      </c>
      <c r="C93" s="21">
        <f>COUNTIF('Data-TED-1'!$L:$L,"&lt;&gt;" &amp; "")-1</f>
        <v>1</v>
      </c>
      <c r="D93" s="21">
        <f t="shared" ref="D93:D97" si="313">G93+J93+M93+P93+S93+V93+Y93+AB93+AE93+AH93+AK93+AN93</f>
        <v>0</v>
      </c>
      <c r="E93" s="27">
        <f t="shared" si="187"/>
        <v>0</v>
      </c>
      <c r="F93" s="21">
        <f>COUNTIFS('Data-TED-1'!$AH:$AH,F$1,'Data-TED-1'!$L:$L,"&lt;&gt;" &amp; "")</f>
        <v>0</v>
      </c>
      <c r="G93" s="21">
        <f>COUNTIFS('Data-TED-1'!$AH:$AH,F$1,'Data-TED-1'!$L:$L,"Very satisfactory (100%)")</f>
        <v>0</v>
      </c>
      <c r="H93" s="27" t="str">
        <f t="shared" si="188"/>
        <v/>
      </c>
      <c r="I93" s="21">
        <f>COUNTIFS('Data-TED-1'!$AH:$AH,I$1,'Data-TED-1'!$L:$L,"&lt;&gt;" &amp; "")</f>
        <v>0</v>
      </c>
      <c r="J93" s="21">
        <f>COUNTIFS('Data-TED-1'!$AH:$AH,I$1,'Data-TED-1'!$L:$L,"Very satisfactory (100%)")</f>
        <v>0</v>
      </c>
      <c r="K93" s="27" t="str">
        <f t="shared" ref="K93:K97" si="314">IF(I93 &lt;&gt; 0,J93/I93,"")</f>
        <v/>
      </c>
      <c r="L93" s="21">
        <f>COUNTIFS('Data-TED-1'!$AH:$AH,L$1,'Data-TED-1'!$L:$L,"&lt;&gt;" &amp; "")</f>
        <v>0</v>
      </c>
      <c r="M93" s="21">
        <f>COUNTIFS('Data-TED-1'!$AH:$AH,L$1,'Data-TED-1'!$L:$L,"Very satisfactory (100%)")</f>
        <v>0</v>
      </c>
      <c r="N93" s="27" t="str">
        <f t="shared" ref="N93:N97" si="315">IF(L93 &lt;&gt; 0,M93/L93,"")</f>
        <v/>
      </c>
      <c r="O93" s="21">
        <f>COUNTIFS('Data-TED-1'!$AH:$AH,O$1,'Data-TED-1'!$L:$L,"&lt;&gt;" &amp; "")</f>
        <v>0</v>
      </c>
      <c r="P93" s="21">
        <f>COUNTIFS('Data-TED-1'!$AH:$AH,O$1,'Data-TED-1'!$L:$L,"Very satisfactory (100%)")</f>
        <v>0</v>
      </c>
      <c r="Q93" s="27" t="str">
        <f t="shared" ref="Q93:Q97" si="316">IF(O93 &lt;&gt; 0,P93/O93,"")</f>
        <v/>
      </c>
      <c r="R93" s="21">
        <f>COUNTIFS('Data-TED-1'!$AH:$AH,R$1,'Data-TED-1'!$L:$L,"&lt;&gt;" &amp; "")</f>
        <v>0</v>
      </c>
      <c r="S93" s="21">
        <f>COUNTIFS('Data-TED-1'!$AH:$AH,R$1,'Data-TED-1'!$L:$L,"Very satisfactory (100%)")</f>
        <v>0</v>
      </c>
      <c r="T93" s="27" t="str">
        <f t="shared" ref="T93:T97" si="317">IF(R93 &lt;&gt; 0,S93/R93,"")</f>
        <v/>
      </c>
      <c r="U93" s="21">
        <f>COUNTIFS('Data-TED-1'!$AH:$AH,U$1,'Data-TED-1'!$L:$L,"&lt;&gt;" &amp; "")</f>
        <v>0</v>
      </c>
      <c r="V93" s="21">
        <f>COUNTIFS('Data-TED-1'!$AH:$AH,U$1,'Data-TED-1'!$L:$L,"Very satisfactory (100%)")</f>
        <v>0</v>
      </c>
      <c r="W93" s="27" t="str">
        <f t="shared" ref="W93:W97" si="318">IF(U93 &lt;&gt; 0,V93/U93,"")</f>
        <v/>
      </c>
      <c r="X93" s="21">
        <f>COUNTIFS('Data-TED-1'!$AH:$AH,X$1,'Data-TED-1'!$L:$L,"&lt;&gt;" &amp; "")</f>
        <v>0</v>
      </c>
      <c r="Y93" s="21">
        <f>COUNTIFS('Data-TED-1'!$AH:$AH,X$1,'Data-TED-1'!$L:$L,"Very satisfactory (100%)")</f>
        <v>0</v>
      </c>
      <c r="Z93" s="27" t="str">
        <f t="shared" ref="Z93:Z97" si="319">IF(X93 &lt;&gt; 0,Y93/X93,"")</f>
        <v/>
      </c>
      <c r="AA93" s="21">
        <f>COUNTIFS('Data-TED-1'!$AH:$AH,AA$1,'Data-TED-1'!$L:$L,"&lt;&gt;" &amp; "")</f>
        <v>0</v>
      </c>
      <c r="AB93" s="21">
        <f>COUNTIFS('Data-TED-1'!$AH:$AH,AA$1,'Data-TED-1'!$L:$L,"Very satisfactory (100%)")</f>
        <v>0</v>
      </c>
      <c r="AC93" s="27" t="str">
        <f t="shared" ref="AC93:AC97" si="320">IF(AA93 &lt;&gt; 0,AB93/AA93,"")</f>
        <v/>
      </c>
      <c r="AD93" s="21">
        <f>COUNTIFS('Data-TED-1'!$AH:$AH,AD$1,'Data-TED-1'!$L:$L,"&lt;&gt;" &amp; "")</f>
        <v>1</v>
      </c>
      <c r="AE93" s="21">
        <f>COUNTIFS('Data-TED-1'!$AH:$AH,AD$1,'Data-TED-1'!$L:$L,"Very satisfactory (100%)")</f>
        <v>0</v>
      </c>
      <c r="AF93" s="27">
        <f t="shared" ref="AF93:AF97" si="321">IF(AD93 &lt;&gt; 0,AE93/AD93,"")</f>
        <v>0</v>
      </c>
      <c r="AG93" s="21">
        <f>COUNTIFS('Data-TED-1'!$AH:$AH,AG$1,'Data-TED-1'!$L:$L,"&lt;&gt;" &amp; "")</f>
        <v>0</v>
      </c>
      <c r="AH93" s="21">
        <f>COUNTIFS('Data-TED-1'!$AH:$AH,AG$1,'Data-TED-1'!$L:$L,"Very satisfactory (100%)")</f>
        <v>0</v>
      </c>
      <c r="AI93" s="27" t="str">
        <f t="shared" ref="AI93:AI97" si="322">IF(AG93 &lt;&gt; 0,AH93/AG93,"")</f>
        <v/>
      </c>
      <c r="AJ93" s="21">
        <f>COUNTIFS('Data-TED-1'!$AH:$AH,AJ$1,'Data-TED-1'!$L:$L,"&lt;&gt;" &amp; "")</f>
        <v>0</v>
      </c>
      <c r="AK93" s="21">
        <f>COUNTIFS('Data-TED-1'!$AH:$AH,AJ$1,'Data-TED-1'!$L:$L,"Very satisfactory (100%)")</f>
        <v>0</v>
      </c>
      <c r="AL93" s="27" t="str">
        <f t="shared" ref="AL93:AL97" si="323">IF(AJ93 &lt;&gt; 0,AK93/AJ93,"")</f>
        <v/>
      </c>
      <c r="AM93" s="21">
        <f>COUNTIFS('Data-TED-1'!$AH:$AH,AM$1,'Data-TED-1'!$L:$L,"&lt;&gt;" &amp; "")</f>
        <v>0</v>
      </c>
      <c r="AN93" s="21">
        <f>COUNTIFS('Data-TED-1'!$AH:$AH,AM$1,'Data-TED-1'!$L:$L,"Very satisfactory (100%)")</f>
        <v>0</v>
      </c>
      <c r="AO93" s="27" t="str">
        <f t="shared" ref="AO93:AO97" si="324">IF(AM93 &lt;&gt; 0,AN93/AM93,"")</f>
        <v/>
      </c>
    </row>
    <row r="94" spans="1:41" x14ac:dyDescent="0.3">
      <c r="A94" s="25"/>
      <c r="B94" s="33" t="s">
        <v>120</v>
      </c>
      <c r="C94" s="21">
        <f>C93</f>
        <v>1</v>
      </c>
      <c r="D94" s="21">
        <f t="shared" si="313"/>
        <v>1</v>
      </c>
      <c r="E94" s="27">
        <f t="shared" si="187"/>
        <v>1</v>
      </c>
      <c r="F94" s="21">
        <f>F93</f>
        <v>0</v>
      </c>
      <c r="G94" s="21">
        <f>COUNTIFS('Data-TED-1'!$AH:$AH,F$1,'Data-TED-1'!$L:$L,"Satisfactory (80%)")</f>
        <v>0</v>
      </c>
      <c r="H94" s="27" t="str">
        <f t="shared" si="188"/>
        <v/>
      </c>
      <c r="I94" s="21">
        <f>I93</f>
        <v>0</v>
      </c>
      <c r="J94" s="21">
        <f>COUNTIFS('Data-TED-1'!$AH:$AH,I$1,'Data-TED-1'!$L:$L,"Satisfactory (80%)")</f>
        <v>0</v>
      </c>
      <c r="K94" s="27" t="str">
        <f t="shared" si="314"/>
        <v/>
      </c>
      <c r="L94" s="21">
        <f>L93</f>
        <v>0</v>
      </c>
      <c r="M94" s="21">
        <f>COUNTIFS('Data-TED-1'!$AH:$AH,L$1,'Data-TED-1'!$L:$L,"Satisfactory (80%)")</f>
        <v>0</v>
      </c>
      <c r="N94" s="27" t="str">
        <f t="shared" si="315"/>
        <v/>
      </c>
      <c r="O94" s="21">
        <f>O93</f>
        <v>0</v>
      </c>
      <c r="P94" s="21">
        <f>COUNTIFS('Data-TED-1'!$AH:$AH,O$1,'Data-TED-1'!$L:$L,"Satisfactory (80%)")</f>
        <v>0</v>
      </c>
      <c r="Q94" s="27" t="str">
        <f t="shared" si="316"/>
        <v/>
      </c>
      <c r="R94" s="21">
        <f>R93</f>
        <v>0</v>
      </c>
      <c r="S94" s="21">
        <f>COUNTIFS('Data-TED-1'!$AH:$AH,R$1,'Data-TED-1'!$L:$L,"Satisfactory (80%)")</f>
        <v>0</v>
      </c>
      <c r="T94" s="27" t="str">
        <f t="shared" si="317"/>
        <v/>
      </c>
      <c r="U94" s="21">
        <f>U93</f>
        <v>0</v>
      </c>
      <c r="V94" s="21">
        <f>COUNTIFS('Data-TED-1'!$AH:$AH,U$1,'Data-TED-1'!$L:$L,"Satisfactory (80%)")</f>
        <v>0</v>
      </c>
      <c r="W94" s="27" t="str">
        <f t="shared" si="318"/>
        <v/>
      </c>
      <c r="X94" s="21">
        <f>X93</f>
        <v>0</v>
      </c>
      <c r="Y94" s="21">
        <f>COUNTIFS('Data-TED-1'!$AH:$AH,X$1,'Data-TED-1'!$L:$L,"Satisfactory (80%)")</f>
        <v>0</v>
      </c>
      <c r="Z94" s="27" t="str">
        <f t="shared" si="319"/>
        <v/>
      </c>
      <c r="AA94" s="21">
        <f>AA93</f>
        <v>0</v>
      </c>
      <c r="AB94" s="21">
        <f>COUNTIFS('Data-TED-1'!$AH:$AH,AA$1,'Data-TED-1'!$L:$L,"Satisfactory (80%)")</f>
        <v>0</v>
      </c>
      <c r="AC94" s="27" t="str">
        <f t="shared" si="320"/>
        <v/>
      </c>
      <c r="AD94" s="21">
        <f>AD93</f>
        <v>1</v>
      </c>
      <c r="AE94" s="21">
        <f>COUNTIFS('Data-TED-1'!$AH:$AH,AD$1,'Data-TED-1'!$L:$L,"Satisfactory (80%)")</f>
        <v>1</v>
      </c>
      <c r="AF94" s="27">
        <f t="shared" si="321"/>
        <v>1</v>
      </c>
      <c r="AG94" s="21">
        <f>AG93</f>
        <v>0</v>
      </c>
      <c r="AH94" s="21">
        <f>COUNTIFS('Data-TED-1'!$AH:$AH,AG$1,'Data-TED-1'!$L:$L,"Satisfactory (80%)")</f>
        <v>0</v>
      </c>
      <c r="AI94" s="27" t="str">
        <f t="shared" si="322"/>
        <v/>
      </c>
      <c r="AJ94" s="21">
        <f>AJ93</f>
        <v>0</v>
      </c>
      <c r="AK94" s="21">
        <f>COUNTIFS('Data-TED-1'!$AH:$AH,AJ$1,'Data-TED-1'!$L:$L,"Satisfactory (80%)")</f>
        <v>0</v>
      </c>
      <c r="AL94" s="27" t="str">
        <f t="shared" si="323"/>
        <v/>
      </c>
      <c r="AM94" s="21">
        <f>AM93</f>
        <v>0</v>
      </c>
      <c r="AN94" s="21">
        <f>COUNTIFS('Data-TED-1'!$AH:$AH,AM$1,'Data-TED-1'!$L:$L,"Satisfactory (80%)")</f>
        <v>0</v>
      </c>
      <c r="AO94" s="27" t="str">
        <f t="shared" si="324"/>
        <v/>
      </c>
    </row>
    <row r="95" spans="1:41" x14ac:dyDescent="0.3">
      <c r="A95" s="25"/>
      <c r="B95" s="33" t="s">
        <v>121</v>
      </c>
      <c r="C95" s="21">
        <f t="shared" ref="C95:C97" si="325">C94</f>
        <v>1</v>
      </c>
      <c r="D95" s="21">
        <f t="shared" si="313"/>
        <v>0</v>
      </c>
      <c r="E95" s="27">
        <f t="shared" si="187"/>
        <v>0</v>
      </c>
      <c r="F95" s="21">
        <f t="shared" ref="F95:F97" si="326">F94</f>
        <v>0</v>
      </c>
      <c r="G95" s="21">
        <f>COUNTIFS('Data-TED-1'!$AH:$AH,F$1,'Data-TED-1'!$L:$L,"Average (60%)")</f>
        <v>0</v>
      </c>
      <c r="H95" s="27" t="str">
        <f t="shared" si="188"/>
        <v/>
      </c>
      <c r="I95" s="21">
        <f t="shared" ref="I95:I97" si="327">I94</f>
        <v>0</v>
      </c>
      <c r="J95" s="21">
        <f>COUNTIFS('Data-TED-1'!$AH:$AH,I$1,'Data-TED-1'!$L:$L,"Average (60%)")</f>
        <v>0</v>
      </c>
      <c r="K95" s="27" t="str">
        <f t="shared" si="314"/>
        <v/>
      </c>
      <c r="L95" s="21">
        <f t="shared" ref="L95:L97" si="328">L94</f>
        <v>0</v>
      </c>
      <c r="M95" s="21">
        <f>COUNTIFS('Data-TED-1'!$AH:$AH,L$1,'Data-TED-1'!$L:$L,"Average (60%)")</f>
        <v>0</v>
      </c>
      <c r="N95" s="27" t="str">
        <f t="shared" si="315"/>
        <v/>
      </c>
      <c r="O95" s="21">
        <f t="shared" ref="O95:O97" si="329">O94</f>
        <v>0</v>
      </c>
      <c r="P95" s="21">
        <f>COUNTIFS('Data-TED-1'!$AH:$AH,O$1,'Data-TED-1'!$L:$L,"Average (60%)")</f>
        <v>0</v>
      </c>
      <c r="Q95" s="27" t="str">
        <f t="shared" si="316"/>
        <v/>
      </c>
      <c r="R95" s="21">
        <f t="shared" ref="R95:R97" si="330">R94</f>
        <v>0</v>
      </c>
      <c r="S95" s="21">
        <f>COUNTIFS('Data-TED-1'!$AH:$AH,R$1,'Data-TED-1'!$L:$L,"Average (60%)")</f>
        <v>0</v>
      </c>
      <c r="T95" s="27" t="str">
        <f t="shared" si="317"/>
        <v/>
      </c>
      <c r="U95" s="21">
        <f t="shared" ref="U95:U97" si="331">U94</f>
        <v>0</v>
      </c>
      <c r="V95" s="21">
        <f>COUNTIFS('Data-TED-1'!$AH:$AH,U$1,'Data-TED-1'!$L:$L,"Average (60%)")</f>
        <v>0</v>
      </c>
      <c r="W95" s="27" t="str">
        <f t="shared" si="318"/>
        <v/>
      </c>
      <c r="X95" s="21">
        <f t="shared" ref="X95:X97" si="332">X94</f>
        <v>0</v>
      </c>
      <c r="Y95" s="21">
        <f>COUNTIFS('Data-TED-1'!$AH:$AH,X$1,'Data-TED-1'!$L:$L,"Average (60%)")</f>
        <v>0</v>
      </c>
      <c r="Z95" s="27" t="str">
        <f t="shared" si="319"/>
        <v/>
      </c>
      <c r="AA95" s="21">
        <f t="shared" ref="AA95:AA97" si="333">AA94</f>
        <v>0</v>
      </c>
      <c r="AB95" s="21">
        <f>COUNTIFS('Data-TED-1'!$AH:$AH,AA$1,'Data-TED-1'!$L:$L,"Average (60%)")</f>
        <v>0</v>
      </c>
      <c r="AC95" s="27" t="str">
        <f t="shared" si="320"/>
        <v/>
      </c>
      <c r="AD95" s="21">
        <f t="shared" ref="AD95:AD97" si="334">AD94</f>
        <v>1</v>
      </c>
      <c r="AE95" s="21">
        <f>COUNTIFS('Data-TED-1'!$AH:$AH,AD$1,'Data-TED-1'!$L:$L,"Average (60%)")</f>
        <v>0</v>
      </c>
      <c r="AF95" s="27">
        <f t="shared" si="321"/>
        <v>0</v>
      </c>
      <c r="AG95" s="21">
        <f t="shared" ref="AG95:AG97" si="335">AG94</f>
        <v>0</v>
      </c>
      <c r="AH95" s="21">
        <f>COUNTIFS('Data-TED-1'!$AH:$AH,AG$1,'Data-TED-1'!$L:$L,"Average (60%)")</f>
        <v>0</v>
      </c>
      <c r="AI95" s="27" t="str">
        <f t="shared" si="322"/>
        <v/>
      </c>
      <c r="AJ95" s="21">
        <f t="shared" ref="AJ95:AJ97" si="336">AJ94</f>
        <v>0</v>
      </c>
      <c r="AK95" s="21">
        <f>COUNTIFS('Data-TED-1'!$AH:$AH,AJ$1,'Data-TED-1'!$L:$L,"Average (60%)")</f>
        <v>0</v>
      </c>
      <c r="AL95" s="27" t="str">
        <f t="shared" si="323"/>
        <v/>
      </c>
      <c r="AM95" s="21">
        <f t="shared" ref="AM95:AM97" si="337">AM94</f>
        <v>0</v>
      </c>
      <c r="AN95" s="21">
        <f>COUNTIFS('Data-TED-1'!$AH:$AH,AM$1,'Data-TED-1'!$L:$L,"Average (60%)")</f>
        <v>0</v>
      </c>
      <c r="AO95" s="27" t="str">
        <f t="shared" si="324"/>
        <v/>
      </c>
    </row>
    <row r="96" spans="1:41" x14ac:dyDescent="0.3">
      <c r="A96" s="25"/>
      <c r="B96" s="33" t="s">
        <v>122</v>
      </c>
      <c r="C96" s="21">
        <f t="shared" si="325"/>
        <v>1</v>
      </c>
      <c r="D96" s="21">
        <f t="shared" si="313"/>
        <v>0</v>
      </c>
      <c r="E96" s="27">
        <f t="shared" si="187"/>
        <v>0</v>
      </c>
      <c r="F96" s="21">
        <f t="shared" si="326"/>
        <v>0</v>
      </c>
      <c r="G96" s="21">
        <f>COUNTIFS('Data-TED-1'!$AH:$AH,F$1,'Data-TED-1'!$L:$L,"Unsatisfactory (40%)")</f>
        <v>0</v>
      </c>
      <c r="H96" s="27" t="str">
        <f t="shared" si="188"/>
        <v/>
      </c>
      <c r="I96" s="21">
        <f t="shared" si="327"/>
        <v>0</v>
      </c>
      <c r="J96" s="21">
        <f>COUNTIFS('Data-TED-1'!$AH:$AH,I$1,'Data-TED-1'!$L:$L,"Unsatisfactory (40%)")</f>
        <v>0</v>
      </c>
      <c r="K96" s="27" t="str">
        <f t="shared" si="314"/>
        <v/>
      </c>
      <c r="L96" s="21">
        <f t="shared" si="328"/>
        <v>0</v>
      </c>
      <c r="M96" s="21">
        <f>COUNTIFS('Data-TED-1'!$AH:$AH,L$1,'Data-TED-1'!$L:$L,"Unsatisfactory (40%)")</f>
        <v>0</v>
      </c>
      <c r="N96" s="27" t="str">
        <f t="shared" si="315"/>
        <v/>
      </c>
      <c r="O96" s="21">
        <f t="shared" si="329"/>
        <v>0</v>
      </c>
      <c r="P96" s="21">
        <f>COUNTIFS('Data-TED-1'!$AH:$AH,O$1,'Data-TED-1'!$L:$L,"Unsatisfactory (40%)")</f>
        <v>0</v>
      </c>
      <c r="Q96" s="27" t="str">
        <f t="shared" si="316"/>
        <v/>
      </c>
      <c r="R96" s="21">
        <f t="shared" si="330"/>
        <v>0</v>
      </c>
      <c r="S96" s="21">
        <f>COUNTIFS('Data-TED-1'!$AH:$AH,R$1,'Data-TED-1'!$L:$L,"Unsatisfactory (40%)")</f>
        <v>0</v>
      </c>
      <c r="T96" s="27" t="str">
        <f t="shared" si="317"/>
        <v/>
      </c>
      <c r="U96" s="21">
        <f t="shared" si="331"/>
        <v>0</v>
      </c>
      <c r="V96" s="21">
        <f>COUNTIFS('Data-TED-1'!$AH:$AH,U$1,'Data-TED-1'!$L:$L,"Unsatisfactory (40%)")</f>
        <v>0</v>
      </c>
      <c r="W96" s="27" t="str">
        <f t="shared" si="318"/>
        <v/>
      </c>
      <c r="X96" s="21">
        <f t="shared" si="332"/>
        <v>0</v>
      </c>
      <c r="Y96" s="21">
        <f>COUNTIFS('Data-TED-1'!$AH:$AH,X$1,'Data-TED-1'!$L:$L,"Unsatisfactory (40%)")</f>
        <v>0</v>
      </c>
      <c r="Z96" s="27" t="str">
        <f t="shared" si="319"/>
        <v/>
      </c>
      <c r="AA96" s="21">
        <f t="shared" si="333"/>
        <v>0</v>
      </c>
      <c r="AB96" s="21">
        <f>COUNTIFS('Data-TED-1'!$AH:$AH,AA$1,'Data-TED-1'!$L:$L,"Unsatisfactory (40%)")</f>
        <v>0</v>
      </c>
      <c r="AC96" s="27" t="str">
        <f t="shared" si="320"/>
        <v/>
      </c>
      <c r="AD96" s="21">
        <f t="shared" si="334"/>
        <v>1</v>
      </c>
      <c r="AE96" s="21">
        <f>COUNTIFS('Data-TED-1'!$AH:$AH,AD$1,'Data-TED-1'!$L:$L,"Unsatisfactory (40%)")</f>
        <v>0</v>
      </c>
      <c r="AF96" s="27">
        <f t="shared" si="321"/>
        <v>0</v>
      </c>
      <c r="AG96" s="21">
        <f t="shared" si="335"/>
        <v>0</v>
      </c>
      <c r="AH96" s="21">
        <f>COUNTIFS('Data-TED-1'!$AH:$AH,AG$1,'Data-TED-1'!$L:$L,"Unsatisfactory (40%)")</f>
        <v>0</v>
      </c>
      <c r="AI96" s="27" t="str">
        <f t="shared" si="322"/>
        <v/>
      </c>
      <c r="AJ96" s="21">
        <f t="shared" si="336"/>
        <v>0</v>
      </c>
      <c r="AK96" s="21">
        <f>COUNTIFS('Data-TED-1'!$AH:$AH,AJ$1,'Data-TED-1'!$L:$L,"Unsatisfactory (40%)")</f>
        <v>0</v>
      </c>
      <c r="AL96" s="27" t="str">
        <f t="shared" si="323"/>
        <v/>
      </c>
      <c r="AM96" s="21">
        <f t="shared" si="337"/>
        <v>0</v>
      </c>
      <c r="AN96" s="21">
        <f>COUNTIFS('Data-TED-1'!$AH:$AH,AM$1,'Data-TED-1'!$L:$L,"Unsatisfactory (40%)")</f>
        <v>0</v>
      </c>
      <c r="AO96" s="27" t="str">
        <f t="shared" si="324"/>
        <v/>
      </c>
    </row>
    <row r="97" spans="1:41" x14ac:dyDescent="0.3">
      <c r="A97" s="25"/>
      <c r="B97" s="33" t="s">
        <v>123</v>
      </c>
      <c r="C97" s="21">
        <f t="shared" si="325"/>
        <v>1</v>
      </c>
      <c r="D97" s="21">
        <f t="shared" si="313"/>
        <v>0</v>
      </c>
      <c r="E97" s="27">
        <f t="shared" si="187"/>
        <v>0</v>
      </c>
      <c r="F97" s="21">
        <f t="shared" si="326"/>
        <v>0</v>
      </c>
      <c r="G97" s="21">
        <f>COUNTIFS('Data-TED-1'!$AH:$AH,F$1,'Data-TED-1'!$L:$L,"Very unsatisfactory (20%)")</f>
        <v>0</v>
      </c>
      <c r="H97" s="27" t="str">
        <f t="shared" si="188"/>
        <v/>
      </c>
      <c r="I97" s="21">
        <f t="shared" si="327"/>
        <v>0</v>
      </c>
      <c r="J97" s="21">
        <f>COUNTIFS('Data-TED-1'!$AH:$AH,I$1,'Data-TED-1'!$L:$L,"Very unsatisfactory (20%)")</f>
        <v>0</v>
      </c>
      <c r="K97" s="27" t="str">
        <f t="shared" si="314"/>
        <v/>
      </c>
      <c r="L97" s="21">
        <f t="shared" si="328"/>
        <v>0</v>
      </c>
      <c r="M97" s="21">
        <f>COUNTIFS('Data-TED-1'!$AH:$AH,L$1,'Data-TED-1'!$L:$L,"Very unsatisfactory (20%)")</f>
        <v>0</v>
      </c>
      <c r="N97" s="27" t="str">
        <f t="shared" si="315"/>
        <v/>
      </c>
      <c r="O97" s="21">
        <f t="shared" si="329"/>
        <v>0</v>
      </c>
      <c r="P97" s="21">
        <f>COUNTIFS('Data-TED-1'!$AH:$AH,O$1,'Data-TED-1'!$L:$L,"Very unsatisfactory (20%)")</f>
        <v>0</v>
      </c>
      <c r="Q97" s="27" t="str">
        <f t="shared" si="316"/>
        <v/>
      </c>
      <c r="R97" s="21">
        <f t="shared" si="330"/>
        <v>0</v>
      </c>
      <c r="S97" s="21">
        <f>COUNTIFS('Data-TED-1'!$AH:$AH,R$1,'Data-TED-1'!$L:$L,"Very unsatisfactory (20%)")</f>
        <v>0</v>
      </c>
      <c r="T97" s="27" t="str">
        <f t="shared" si="317"/>
        <v/>
      </c>
      <c r="U97" s="21">
        <f t="shared" si="331"/>
        <v>0</v>
      </c>
      <c r="V97" s="21">
        <f>COUNTIFS('Data-TED-1'!$AH:$AH,U$1,'Data-TED-1'!$L:$L,"Very unsatisfactory (20%)")</f>
        <v>0</v>
      </c>
      <c r="W97" s="27" t="str">
        <f t="shared" si="318"/>
        <v/>
      </c>
      <c r="X97" s="21">
        <f t="shared" si="332"/>
        <v>0</v>
      </c>
      <c r="Y97" s="21">
        <f>COUNTIFS('Data-TED-1'!$AH:$AH,X$1,'Data-TED-1'!$L:$L,"Very unsatisfactory (20%)")</f>
        <v>0</v>
      </c>
      <c r="Z97" s="27" t="str">
        <f t="shared" si="319"/>
        <v/>
      </c>
      <c r="AA97" s="21">
        <f t="shared" si="333"/>
        <v>0</v>
      </c>
      <c r="AB97" s="21">
        <f>COUNTIFS('Data-TED-1'!$AH:$AH,AA$1,'Data-TED-1'!$L:$L,"Very unsatisfactory (20%)")</f>
        <v>0</v>
      </c>
      <c r="AC97" s="27" t="str">
        <f t="shared" si="320"/>
        <v/>
      </c>
      <c r="AD97" s="21">
        <f t="shared" si="334"/>
        <v>1</v>
      </c>
      <c r="AE97" s="21">
        <f>COUNTIFS('Data-TED-1'!$AH:$AH,AD$1,'Data-TED-1'!$L:$L,"Very unsatisfactory (20%)")</f>
        <v>0</v>
      </c>
      <c r="AF97" s="27">
        <f t="shared" si="321"/>
        <v>0</v>
      </c>
      <c r="AG97" s="21">
        <f t="shared" si="335"/>
        <v>0</v>
      </c>
      <c r="AH97" s="21">
        <f>COUNTIFS('Data-TED-1'!$AH:$AH,AG$1,'Data-TED-1'!$L:$L,"Very unsatisfactory (20%)")</f>
        <v>0</v>
      </c>
      <c r="AI97" s="27" t="str">
        <f t="shared" si="322"/>
        <v/>
      </c>
      <c r="AJ97" s="21">
        <f t="shared" si="336"/>
        <v>0</v>
      </c>
      <c r="AK97" s="21">
        <f>COUNTIFS('Data-TED-1'!$AH:$AH,AJ$1,'Data-TED-1'!$L:$L,"Very unsatisfactory (20%)")</f>
        <v>0</v>
      </c>
      <c r="AL97" s="27" t="str">
        <f t="shared" si="323"/>
        <v/>
      </c>
      <c r="AM97" s="21">
        <f t="shared" si="337"/>
        <v>0</v>
      </c>
      <c r="AN97" s="21">
        <f>COUNTIFS('Data-TED-1'!$AH:$AH,AM$1,'Data-TED-1'!$L:$L,"Very unsatisfactory (20%)")</f>
        <v>0</v>
      </c>
      <c r="AO97" s="27" t="str">
        <f t="shared" si="324"/>
        <v/>
      </c>
    </row>
    <row r="98" spans="1:41" x14ac:dyDescent="0.3">
      <c r="A98" s="21">
        <v>17</v>
      </c>
      <c r="B98" s="22" t="s">
        <v>85</v>
      </c>
      <c r="C98" s="23"/>
      <c r="D98" s="21"/>
      <c r="E98" s="24"/>
      <c r="F98" s="23"/>
      <c r="G98" s="23"/>
      <c r="H98" s="24"/>
      <c r="I98" s="23"/>
      <c r="J98" s="23"/>
      <c r="K98" s="24"/>
      <c r="L98" s="23"/>
      <c r="M98" s="23"/>
      <c r="N98" s="24"/>
      <c r="O98" s="23"/>
      <c r="P98" s="23"/>
      <c r="Q98" s="24"/>
      <c r="R98" s="23"/>
      <c r="S98" s="23"/>
      <c r="T98" s="24"/>
      <c r="U98" s="23"/>
      <c r="V98" s="23"/>
      <c r="W98" s="24"/>
      <c r="X98" s="23"/>
      <c r="Y98" s="23"/>
      <c r="Z98" s="24"/>
      <c r="AA98" s="23"/>
      <c r="AB98" s="23"/>
      <c r="AC98" s="24"/>
      <c r="AD98" s="23"/>
      <c r="AE98" s="23"/>
      <c r="AF98" s="24"/>
      <c r="AG98" s="23"/>
      <c r="AH98" s="23"/>
      <c r="AI98" s="24"/>
      <c r="AJ98" s="23"/>
      <c r="AK98" s="23"/>
      <c r="AL98" s="24"/>
      <c r="AM98" s="23"/>
      <c r="AN98" s="23"/>
      <c r="AO98" s="24"/>
    </row>
    <row r="99" spans="1:41" x14ac:dyDescent="0.3">
      <c r="A99" s="25"/>
      <c r="B99" s="33" t="s">
        <v>119</v>
      </c>
      <c r="C99" s="21">
        <f>COUNTIF('Data-TED-1'!$M:$M,"&lt;&gt;" &amp; "")-1</f>
        <v>1</v>
      </c>
      <c r="D99" s="21">
        <f t="shared" ref="D99:D103" si="338">G99+J99+M99+P99+S99+V99+Y99+AB99+AE99+AH99+AK99+AN99</f>
        <v>0</v>
      </c>
      <c r="E99" s="27">
        <f t="shared" si="187"/>
        <v>0</v>
      </c>
      <c r="F99" s="21">
        <f>COUNTIFS('Data-TED-1'!$AH:$AH,F$1,'Data-TED-1'!$M:$M,"&lt;&gt;" &amp; "")</f>
        <v>0</v>
      </c>
      <c r="G99" s="21">
        <f>COUNTIFS('Data-TED-1'!$AH:$AH,F$1,'Data-TED-1'!$M:$M,"Very satisfactory (100%)")</f>
        <v>0</v>
      </c>
      <c r="H99" s="27" t="str">
        <f t="shared" si="188"/>
        <v/>
      </c>
      <c r="I99" s="21">
        <f>COUNTIFS('Data-TED-1'!$AH:$AH,I$1,'Data-TED-1'!$M:$M,"&lt;&gt;" &amp; "")</f>
        <v>0</v>
      </c>
      <c r="J99" s="21">
        <f>COUNTIFS('Data-TED-1'!$AH:$AH,I$1,'Data-TED-1'!$M:$M,"Very satisfactory (100%)")</f>
        <v>0</v>
      </c>
      <c r="K99" s="27" t="str">
        <f t="shared" ref="K99:K103" si="339">IF(I99 &lt;&gt; 0,J99/I99,"")</f>
        <v/>
      </c>
      <c r="L99" s="21">
        <f>COUNTIFS('Data-TED-1'!$AH:$AH,L$1,'Data-TED-1'!$M:$M,"&lt;&gt;" &amp; "")</f>
        <v>0</v>
      </c>
      <c r="M99" s="21">
        <f>COUNTIFS('Data-TED-1'!$AH:$AH,L$1,'Data-TED-1'!$M:$M,"Very satisfactory (100%)")</f>
        <v>0</v>
      </c>
      <c r="N99" s="27" t="str">
        <f t="shared" ref="N99:N103" si="340">IF(L99 &lt;&gt; 0,M99/L99,"")</f>
        <v/>
      </c>
      <c r="O99" s="21">
        <f>COUNTIFS('Data-TED-1'!$AH:$AH,O$1,'Data-TED-1'!$M:$M,"&lt;&gt;" &amp; "")</f>
        <v>0</v>
      </c>
      <c r="P99" s="21">
        <f>COUNTIFS('Data-TED-1'!$AH:$AH,O$1,'Data-TED-1'!$M:$M,"Very satisfactory (100%)")</f>
        <v>0</v>
      </c>
      <c r="Q99" s="27" t="str">
        <f t="shared" ref="Q99:Q103" si="341">IF(O99 &lt;&gt; 0,P99/O99,"")</f>
        <v/>
      </c>
      <c r="R99" s="21">
        <f>COUNTIFS('Data-TED-1'!$AH:$AH,R$1,'Data-TED-1'!$M:$M,"&lt;&gt;" &amp; "")</f>
        <v>0</v>
      </c>
      <c r="S99" s="21">
        <f>COUNTIFS('Data-TED-1'!$AH:$AH,R$1,'Data-TED-1'!$M:$M,"Very satisfactory (100%)")</f>
        <v>0</v>
      </c>
      <c r="T99" s="27" t="str">
        <f t="shared" ref="T99:T103" si="342">IF(R99 &lt;&gt; 0,S99/R99,"")</f>
        <v/>
      </c>
      <c r="U99" s="21">
        <f>COUNTIFS('Data-TED-1'!$AH:$AH,U$1,'Data-TED-1'!$M:$M,"&lt;&gt;" &amp; "")</f>
        <v>0</v>
      </c>
      <c r="V99" s="21">
        <f>COUNTIFS('Data-TED-1'!$AH:$AH,U$1,'Data-TED-1'!$M:$M,"Very satisfactory (100%)")</f>
        <v>0</v>
      </c>
      <c r="W99" s="27" t="str">
        <f t="shared" ref="W99:W103" si="343">IF(U99 &lt;&gt; 0,V99/U99,"")</f>
        <v/>
      </c>
      <c r="X99" s="21">
        <f>COUNTIFS('Data-TED-1'!$AH:$AH,X$1,'Data-TED-1'!$M:$M,"&lt;&gt;" &amp; "")</f>
        <v>0</v>
      </c>
      <c r="Y99" s="21">
        <f>COUNTIFS('Data-TED-1'!$AH:$AH,X$1,'Data-TED-1'!$M:$M,"Very satisfactory (100%)")</f>
        <v>0</v>
      </c>
      <c r="Z99" s="27" t="str">
        <f t="shared" ref="Z99:Z103" si="344">IF(X99 &lt;&gt; 0,Y99/X99,"")</f>
        <v/>
      </c>
      <c r="AA99" s="21">
        <f>COUNTIFS('Data-TED-1'!$AH:$AH,AA$1,'Data-TED-1'!$M:$M,"&lt;&gt;" &amp; "")</f>
        <v>0</v>
      </c>
      <c r="AB99" s="21">
        <f>COUNTIFS('Data-TED-1'!$AH:$AH,AA$1,'Data-TED-1'!$M:$M,"Very satisfactory (100%)")</f>
        <v>0</v>
      </c>
      <c r="AC99" s="27" t="str">
        <f t="shared" ref="AC99:AC103" si="345">IF(AA99 &lt;&gt; 0,AB99/AA99,"")</f>
        <v/>
      </c>
      <c r="AD99" s="21">
        <f>COUNTIFS('Data-TED-1'!$AH:$AH,AD$1,'Data-TED-1'!$M:$M,"&lt;&gt;" &amp; "")</f>
        <v>1</v>
      </c>
      <c r="AE99" s="21">
        <f>COUNTIFS('Data-TED-1'!$AH:$AH,AD$1,'Data-TED-1'!$M:$M,"Very satisfactory (100%)")</f>
        <v>0</v>
      </c>
      <c r="AF99" s="27">
        <f t="shared" ref="AF99:AF103" si="346">IF(AD99 &lt;&gt; 0,AE99/AD99,"")</f>
        <v>0</v>
      </c>
      <c r="AG99" s="21">
        <f>COUNTIFS('Data-TED-1'!$AH:$AH,AG$1,'Data-TED-1'!$M:$M,"&lt;&gt;" &amp; "")</f>
        <v>0</v>
      </c>
      <c r="AH99" s="21">
        <f>COUNTIFS('Data-TED-1'!$AH:$AH,AG$1,'Data-TED-1'!$M:$M,"Very satisfactory (100%)")</f>
        <v>0</v>
      </c>
      <c r="AI99" s="27" t="str">
        <f t="shared" ref="AI99:AI103" si="347">IF(AG99 &lt;&gt; 0,AH99/AG99,"")</f>
        <v/>
      </c>
      <c r="AJ99" s="21">
        <f>COUNTIFS('Data-TED-1'!$AH:$AH,AJ$1,'Data-TED-1'!$M:$M,"&lt;&gt;" &amp; "")</f>
        <v>0</v>
      </c>
      <c r="AK99" s="21">
        <f>COUNTIFS('Data-TED-1'!$AH:$AH,AJ$1,'Data-TED-1'!$M:$M,"Very satisfactory (100%)")</f>
        <v>0</v>
      </c>
      <c r="AL99" s="27" t="str">
        <f t="shared" ref="AL99:AL103" si="348">IF(AJ99 &lt;&gt; 0,AK99/AJ99,"")</f>
        <v/>
      </c>
      <c r="AM99" s="21">
        <f>COUNTIFS('Data-TED-1'!$AH:$AH,AM$1,'Data-TED-1'!$M:$M,"&lt;&gt;" &amp; "")</f>
        <v>0</v>
      </c>
      <c r="AN99" s="21">
        <f>COUNTIFS('Data-TED-1'!$AH:$AH,AM$1,'Data-TED-1'!$M:$M,"Very satisfactory (100%)")</f>
        <v>0</v>
      </c>
      <c r="AO99" s="27" t="str">
        <f t="shared" ref="AO99:AO103" si="349">IF(AM99 &lt;&gt; 0,AN99/AM99,"")</f>
        <v/>
      </c>
    </row>
    <row r="100" spans="1:41" x14ac:dyDescent="0.3">
      <c r="A100" s="25"/>
      <c r="B100" s="33" t="s">
        <v>120</v>
      </c>
      <c r="C100" s="21">
        <f>C99</f>
        <v>1</v>
      </c>
      <c r="D100" s="21">
        <f t="shared" si="338"/>
        <v>0</v>
      </c>
      <c r="E100" s="27">
        <f t="shared" si="187"/>
        <v>0</v>
      </c>
      <c r="F100" s="21">
        <f>F99</f>
        <v>0</v>
      </c>
      <c r="G100" s="21">
        <f>COUNTIFS('Data-TED-1'!$AH:$AH,F$1,'Data-TED-1'!$M:$M,"Satisfactory (80%)")</f>
        <v>0</v>
      </c>
      <c r="H100" s="27" t="str">
        <f t="shared" si="188"/>
        <v/>
      </c>
      <c r="I100" s="21">
        <f>I99</f>
        <v>0</v>
      </c>
      <c r="J100" s="21">
        <f>COUNTIFS('Data-TED-1'!$AH:$AH,I$1,'Data-TED-1'!$M:$M,"Satisfactory (80%)")</f>
        <v>0</v>
      </c>
      <c r="K100" s="27" t="str">
        <f t="shared" si="339"/>
        <v/>
      </c>
      <c r="L100" s="21">
        <f>L99</f>
        <v>0</v>
      </c>
      <c r="M100" s="21">
        <f>COUNTIFS('Data-TED-1'!$AH:$AH,L$1,'Data-TED-1'!$M:$M,"Satisfactory (80%)")</f>
        <v>0</v>
      </c>
      <c r="N100" s="27" t="str">
        <f t="shared" si="340"/>
        <v/>
      </c>
      <c r="O100" s="21">
        <f>O99</f>
        <v>0</v>
      </c>
      <c r="P100" s="21">
        <f>COUNTIFS('Data-TED-1'!$AH:$AH,O$1,'Data-TED-1'!$M:$M,"Satisfactory (80%)")</f>
        <v>0</v>
      </c>
      <c r="Q100" s="27" t="str">
        <f t="shared" si="341"/>
        <v/>
      </c>
      <c r="R100" s="21">
        <f>R99</f>
        <v>0</v>
      </c>
      <c r="S100" s="21">
        <f>COUNTIFS('Data-TED-1'!$AH:$AH,R$1,'Data-TED-1'!$M:$M,"Satisfactory (80%)")</f>
        <v>0</v>
      </c>
      <c r="T100" s="27" t="str">
        <f t="shared" si="342"/>
        <v/>
      </c>
      <c r="U100" s="21">
        <f>U99</f>
        <v>0</v>
      </c>
      <c r="V100" s="21">
        <f>COUNTIFS('Data-TED-1'!$AH:$AH,U$1,'Data-TED-1'!$M:$M,"Satisfactory (80%)")</f>
        <v>0</v>
      </c>
      <c r="W100" s="27" t="str">
        <f t="shared" si="343"/>
        <v/>
      </c>
      <c r="X100" s="21">
        <f>X99</f>
        <v>0</v>
      </c>
      <c r="Y100" s="21">
        <f>COUNTIFS('Data-TED-1'!$AH:$AH,X$1,'Data-TED-1'!$M:$M,"Satisfactory (80%)")</f>
        <v>0</v>
      </c>
      <c r="Z100" s="27" t="str">
        <f t="shared" si="344"/>
        <v/>
      </c>
      <c r="AA100" s="21">
        <f>AA99</f>
        <v>0</v>
      </c>
      <c r="AB100" s="21">
        <f>COUNTIFS('Data-TED-1'!$AH:$AH,AA$1,'Data-TED-1'!$M:$M,"Satisfactory (80%)")</f>
        <v>0</v>
      </c>
      <c r="AC100" s="27" t="str">
        <f t="shared" si="345"/>
        <v/>
      </c>
      <c r="AD100" s="21">
        <f>AD99</f>
        <v>1</v>
      </c>
      <c r="AE100" s="21">
        <f>COUNTIFS('Data-TED-1'!$AH:$AH,AD$1,'Data-TED-1'!$M:$M,"Satisfactory (80%)")</f>
        <v>0</v>
      </c>
      <c r="AF100" s="27">
        <f t="shared" si="346"/>
        <v>0</v>
      </c>
      <c r="AG100" s="21">
        <f>AG99</f>
        <v>0</v>
      </c>
      <c r="AH100" s="21">
        <f>COUNTIFS('Data-TED-1'!$AH:$AH,AG$1,'Data-TED-1'!$M:$M,"Satisfactory (80%)")</f>
        <v>0</v>
      </c>
      <c r="AI100" s="27" t="str">
        <f t="shared" si="347"/>
        <v/>
      </c>
      <c r="AJ100" s="21">
        <f>AJ99</f>
        <v>0</v>
      </c>
      <c r="AK100" s="21">
        <f>COUNTIFS('Data-TED-1'!$AH:$AH,AJ$1,'Data-TED-1'!$M:$M,"Satisfactory (80%)")</f>
        <v>0</v>
      </c>
      <c r="AL100" s="27" t="str">
        <f t="shared" si="348"/>
        <v/>
      </c>
      <c r="AM100" s="21">
        <f>AM99</f>
        <v>0</v>
      </c>
      <c r="AN100" s="21">
        <f>COUNTIFS('Data-TED-1'!$AH:$AH,AM$1,'Data-TED-1'!$M:$M,"Satisfactory (80%)")</f>
        <v>0</v>
      </c>
      <c r="AO100" s="27" t="str">
        <f t="shared" si="349"/>
        <v/>
      </c>
    </row>
    <row r="101" spans="1:41" x14ac:dyDescent="0.3">
      <c r="A101" s="25"/>
      <c r="B101" s="33" t="s">
        <v>121</v>
      </c>
      <c r="C101" s="21">
        <f t="shared" ref="C101:C103" si="350">C100</f>
        <v>1</v>
      </c>
      <c r="D101" s="21">
        <f t="shared" si="338"/>
        <v>0</v>
      </c>
      <c r="E101" s="27">
        <f t="shared" si="187"/>
        <v>0</v>
      </c>
      <c r="F101" s="21">
        <f t="shared" ref="F101:F103" si="351">F100</f>
        <v>0</v>
      </c>
      <c r="G101" s="21">
        <f>COUNTIFS('Data-TED-1'!$AH:$AH,F$1,'Data-TED-1'!$M:$M,"Average (60%)")</f>
        <v>0</v>
      </c>
      <c r="H101" s="27" t="str">
        <f t="shared" si="188"/>
        <v/>
      </c>
      <c r="I101" s="21">
        <f t="shared" ref="I101:I103" si="352">I100</f>
        <v>0</v>
      </c>
      <c r="J101" s="21">
        <f>COUNTIFS('Data-TED-1'!$AH:$AH,I$1,'Data-TED-1'!$M:$M,"Average (60%)")</f>
        <v>0</v>
      </c>
      <c r="K101" s="27" t="str">
        <f t="shared" si="339"/>
        <v/>
      </c>
      <c r="L101" s="21">
        <f t="shared" ref="L101:L103" si="353">L100</f>
        <v>0</v>
      </c>
      <c r="M101" s="21">
        <f>COUNTIFS('Data-TED-1'!$AH:$AH,L$1,'Data-TED-1'!$M:$M,"Average (60%)")</f>
        <v>0</v>
      </c>
      <c r="N101" s="27" t="str">
        <f t="shared" si="340"/>
        <v/>
      </c>
      <c r="O101" s="21">
        <f t="shared" ref="O101:O103" si="354">O100</f>
        <v>0</v>
      </c>
      <c r="P101" s="21">
        <f>COUNTIFS('Data-TED-1'!$AH:$AH,O$1,'Data-TED-1'!$M:$M,"Average (60%)")</f>
        <v>0</v>
      </c>
      <c r="Q101" s="27" t="str">
        <f t="shared" si="341"/>
        <v/>
      </c>
      <c r="R101" s="21">
        <f t="shared" ref="R101:R103" si="355">R100</f>
        <v>0</v>
      </c>
      <c r="S101" s="21">
        <f>COUNTIFS('Data-TED-1'!$AH:$AH,R$1,'Data-TED-1'!$M:$M,"Average (60%)")</f>
        <v>0</v>
      </c>
      <c r="T101" s="27" t="str">
        <f t="shared" si="342"/>
        <v/>
      </c>
      <c r="U101" s="21">
        <f t="shared" ref="U101:U103" si="356">U100</f>
        <v>0</v>
      </c>
      <c r="V101" s="21">
        <f>COUNTIFS('Data-TED-1'!$AH:$AH,U$1,'Data-TED-1'!$M:$M,"Average (60%)")</f>
        <v>0</v>
      </c>
      <c r="W101" s="27" t="str">
        <f t="shared" si="343"/>
        <v/>
      </c>
      <c r="X101" s="21">
        <f t="shared" ref="X101:X103" si="357">X100</f>
        <v>0</v>
      </c>
      <c r="Y101" s="21">
        <f>COUNTIFS('Data-TED-1'!$AH:$AH,X$1,'Data-TED-1'!$M:$M,"Average (60%)")</f>
        <v>0</v>
      </c>
      <c r="Z101" s="27" t="str">
        <f t="shared" si="344"/>
        <v/>
      </c>
      <c r="AA101" s="21">
        <f t="shared" ref="AA101:AA103" si="358">AA100</f>
        <v>0</v>
      </c>
      <c r="AB101" s="21">
        <f>COUNTIFS('Data-TED-1'!$AH:$AH,AA$1,'Data-TED-1'!$M:$M,"Average (60%)")</f>
        <v>0</v>
      </c>
      <c r="AC101" s="27" t="str">
        <f t="shared" si="345"/>
        <v/>
      </c>
      <c r="AD101" s="21">
        <f t="shared" ref="AD101:AD103" si="359">AD100</f>
        <v>1</v>
      </c>
      <c r="AE101" s="21">
        <f>COUNTIFS('Data-TED-1'!$AH:$AH,AD$1,'Data-TED-1'!$M:$M,"Average (60%)")</f>
        <v>0</v>
      </c>
      <c r="AF101" s="27">
        <f t="shared" si="346"/>
        <v>0</v>
      </c>
      <c r="AG101" s="21">
        <f t="shared" ref="AG101:AG103" si="360">AG100</f>
        <v>0</v>
      </c>
      <c r="AH101" s="21">
        <f>COUNTIFS('Data-TED-1'!$AH:$AH,AG$1,'Data-TED-1'!$M:$M,"Average (60%)")</f>
        <v>0</v>
      </c>
      <c r="AI101" s="27" t="str">
        <f t="shared" si="347"/>
        <v/>
      </c>
      <c r="AJ101" s="21">
        <f t="shared" ref="AJ101:AJ103" si="361">AJ100</f>
        <v>0</v>
      </c>
      <c r="AK101" s="21">
        <f>COUNTIFS('Data-TED-1'!$AH:$AH,AJ$1,'Data-TED-1'!$M:$M,"Average (60%)")</f>
        <v>0</v>
      </c>
      <c r="AL101" s="27" t="str">
        <f t="shared" si="348"/>
        <v/>
      </c>
      <c r="AM101" s="21">
        <f t="shared" ref="AM101:AM103" si="362">AM100</f>
        <v>0</v>
      </c>
      <c r="AN101" s="21">
        <f>COUNTIFS('Data-TED-1'!$AH:$AH,AM$1,'Data-TED-1'!$M:$M,"Average (60%)")</f>
        <v>0</v>
      </c>
      <c r="AO101" s="27" t="str">
        <f t="shared" si="349"/>
        <v/>
      </c>
    </row>
    <row r="102" spans="1:41" x14ac:dyDescent="0.3">
      <c r="A102" s="25"/>
      <c r="B102" s="33" t="s">
        <v>122</v>
      </c>
      <c r="C102" s="21">
        <f t="shared" si="350"/>
        <v>1</v>
      </c>
      <c r="D102" s="21">
        <f t="shared" si="338"/>
        <v>1</v>
      </c>
      <c r="E102" s="27">
        <f t="shared" si="187"/>
        <v>1</v>
      </c>
      <c r="F102" s="21">
        <f t="shared" si="351"/>
        <v>0</v>
      </c>
      <c r="G102" s="21">
        <f>COUNTIFS('Data-TED-1'!$AH:$AH,F$1,'Data-TED-1'!$M:$M,"Unsatisfactory (40%)")</f>
        <v>0</v>
      </c>
      <c r="H102" s="27" t="str">
        <f t="shared" si="188"/>
        <v/>
      </c>
      <c r="I102" s="21">
        <f t="shared" si="352"/>
        <v>0</v>
      </c>
      <c r="J102" s="21">
        <f>COUNTIFS('Data-TED-1'!$AH:$AH,I$1,'Data-TED-1'!$M:$M,"Unsatisfactory (40%)")</f>
        <v>0</v>
      </c>
      <c r="K102" s="27" t="str">
        <f t="shared" si="339"/>
        <v/>
      </c>
      <c r="L102" s="21">
        <f t="shared" si="353"/>
        <v>0</v>
      </c>
      <c r="M102" s="21">
        <f>COUNTIFS('Data-TED-1'!$AH:$AH,L$1,'Data-TED-1'!$M:$M,"Unsatisfactory (40%)")</f>
        <v>0</v>
      </c>
      <c r="N102" s="27" t="str">
        <f t="shared" si="340"/>
        <v/>
      </c>
      <c r="O102" s="21">
        <f t="shared" si="354"/>
        <v>0</v>
      </c>
      <c r="P102" s="21">
        <f>COUNTIFS('Data-TED-1'!$AH:$AH,O$1,'Data-TED-1'!$M:$M,"Unsatisfactory (40%)")</f>
        <v>0</v>
      </c>
      <c r="Q102" s="27" t="str">
        <f t="shared" si="341"/>
        <v/>
      </c>
      <c r="R102" s="21">
        <f t="shared" si="355"/>
        <v>0</v>
      </c>
      <c r="S102" s="21">
        <f>COUNTIFS('Data-TED-1'!$AH:$AH,R$1,'Data-TED-1'!$M:$M,"Unsatisfactory (40%)")</f>
        <v>0</v>
      </c>
      <c r="T102" s="27" t="str">
        <f t="shared" si="342"/>
        <v/>
      </c>
      <c r="U102" s="21">
        <f t="shared" si="356"/>
        <v>0</v>
      </c>
      <c r="V102" s="21">
        <f>COUNTIFS('Data-TED-1'!$AH:$AH,U$1,'Data-TED-1'!$M:$M,"Unsatisfactory (40%)")</f>
        <v>0</v>
      </c>
      <c r="W102" s="27" t="str">
        <f t="shared" si="343"/>
        <v/>
      </c>
      <c r="X102" s="21">
        <f t="shared" si="357"/>
        <v>0</v>
      </c>
      <c r="Y102" s="21">
        <f>COUNTIFS('Data-TED-1'!$AH:$AH,X$1,'Data-TED-1'!$M:$M,"Unsatisfactory (40%)")</f>
        <v>0</v>
      </c>
      <c r="Z102" s="27" t="str">
        <f t="shared" si="344"/>
        <v/>
      </c>
      <c r="AA102" s="21">
        <f t="shared" si="358"/>
        <v>0</v>
      </c>
      <c r="AB102" s="21">
        <f>COUNTIFS('Data-TED-1'!$AH:$AH,AA$1,'Data-TED-1'!$M:$M,"Unsatisfactory (40%)")</f>
        <v>0</v>
      </c>
      <c r="AC102" s="27" t="str">
        <f t="shared" si="345"/>
        <v/>
      </c>
      <c r="AD102" s="21">
        <f t="shared" si="359"/>
        <v>1</v>
      </c>
      <c r="AE102" s="21">
        <f>COUNTIFS('Data-TED-1'!$AH:$AH,AD$1,'Data-TED-1'!$M:$M,"Unsatisfactory (40%)")</f>
        <v>1</v>
      </c>
      <c r="AF102" s="27">
        <f t="shared" si="346"/>
        <v>1</v>
      </c>
      <c r="AG102" s="21">
        <f t="shared" si="360"/>
        <v>0</v>
      </c>
      <c r="AH102" s="21">
        <f>COUNTIFS('Data-TED-1'!$AH:$AH,AG$1,'Data-TED-1'!$M:$M,"Unsatisfactory (40%)")</f>
        <v>0</v>
      </c>
      <c r="AI102" s="27" t="str">
        <f t="shared" si="347"/>
        <v/>
      </c>
      <c r="AJ102" s="21">
        <f t="shared" si="361"/>
        <v>0</v>
      </c>
      <c r="AK102" s="21">
        <f>COUNTIFS('Data-TED-1'!$AH:$AH,AJ$1,'Data-TED-1'!$M:$M,"Unsatisfactory (40%)")</f>
        <v>0</v>
      </c>
      <c r="AL102" s="27" t="str">
        <f t="shared" si="348"/>
        <v/>
      </c>
      <c r="AM102" s="21">
        <f t="shared" si="362"/>
        <v>0</v>
      </c>
      <c r="AN102" s="21">
        <f>COUNTIFS('Data-TED-1'!$AH:$AH,AM$1,'Data-TED-1'!$M:$M,"Unsatisfactory (40%)")</f>
        <v>0</v>
      </c>
      <c r="AO102" s="27" t="str">
        <f t="shared" si="349"/>
        <v/>
      </c>
    </row>
    <row r="103" spans="1:41" x14ac:dyDescent="0.3">
      <c r="A103" s="25"/>
      <c r="B103" s="33" t="s">
        <v>123</v>
      </c>
      <c r="C103" s="21">
        <f t="shared" si="350"/>
        <v>1</v>
      </c>
      <c r="D103" s="21">
        <f t="shared" si="338"/>
        <v>0</v>
      </c>
      <c r="E103" s="27">
        <f t="shared" si="187"/>
        <v>0</v>
      </c>
      <c r="F103" s="21">
        <f t="shared" si="351"/>
        <v>0</v>
      </c>
      <c r="G103" s="21">
        <f>COUNTIFS('Data-TED-1'!$AH:$AH,F$1,'Data-TED-1'!$M:$M,"Very unsatisfactory (20%)")</f>
        <v>0</v>
      </c>
      <c r="H103" s="27" t="str">
        <f t="shared" si="188"/>
        <v/>
      </c>
      <c r="I103" s="21">
        <f t="shared" si="352"/>
        <v>0</v>
      </c>
      <c r="J103" s="21">
        <f>COUNTIFS('Data-TED-1'!$AH:$AH,I$1,'Data-TED-1'!$M:$M,"Very unsatisfactory (20%)")</f>
        <v>0</v>
      </c>
      <c r="K103" s="27" t="str">
        <f t="shared" si="339"/>
        <v/>
      </c>
      <c r="L103" s="21">
        <f t="shared" si="353"/>
        <v>0</v>
      </c>
      <c r="M103" s="21">
        <f>COUNTIFS('Data-TED-1'!$AH:$AH,L$1,'Data-TED-1'!$M:$M,"Very unsatisfactory (20%)")</f>
        <v>0</v>
      </c>
      <c r="N103" s="27" t="str">
        <f t="shared" si="340"/>
        <v/>
      </c>
      <c r="O103" s="21">
        <f t="shared" si="354"/>
        <v>0</v>
      </c>
      <c r="P103" s="21">
        <f>COUNTIFS('Data-TED-1'!$AH:$AH,O$1,'Data-TED-1'!$M:$M,"Very unsatisfactory (20%)")</f>
        <v>0</v>
      </c>
      <c r="Q103" s="27" t="str">
        <f t="shared" si="341"/>
        <v/>
      </c>
      <c r="R103" s="21">
        <f t="shared" si="355"/>
        <v>0</v>
      </c>
      <c r="S103" s="21">
        <f>COUNTIFS('Data-TED-1'!$AH:$AH,R$1,'Data-TED-1'!$M:$M,"Very unsatisfactory (20%)")</f>
        <v>0</v>
      </c>
      <c r="T103" s="27" t="str">
        <f t="shared" si="342"/>
        <v/>
      </c>
      <c r="U103" s="21">
        <f t="shared" si="356"/>
        <v>0</v>
      </c>
      <c r="V103" s="21">
        <f>COUNTIFS('Data-TED-1'!$AH:$AH,U$1,'Data-TED-1'!$M:$M,"Very unsatisfactory (20%)")</f>
        <v>0</v>
      </c>
      <c r="W103" s="27" t="str">
        <f t="shared" si="343"/>
        <v/>
      </c>
      <c r="X103" s="21">
        <f t="shared" si="357"/>
        <v>0</v>
      </c>
      <c r="Y103" s="21">
        <f>COUNTIFS('Data-TED-1'!$AH:$AH,X$1,'Data-TED-1'!$M:$M,"Very unsatisfactory (20%)")</f>
        <v>0</v>
      </c>
      <c r="Z103" s="27" t="str">
        <f t="shared" si="344"/>
        <v/>
      </c>
      <c r="AA103" s="21">
        <f t="shared" si="358"/>
        <v>0</v>
      </c>
      <c r="AB103" s="21">
        <f>COUNTIFS('Data-TED-1'!$AH:$AH,AA$1,'Data-TED-1'!$M:$M,"Very unsatisfactory (20%)")</f>
        <v>0</v>
      </c>
      <c r="AC103" s="27" t="str">
        <f t="shared" si="345"/>
        <v/>
      </c>
      <c r="AD103" s="21">
        <f t="shared" si="359"/>
        <v>1</v>
      </c>
      <c r="AE103" s="21">
        <f>COUNTIFS('Data-TED-1'!$AH:$AH,AD$1,'Data-TED-1'!$M:$M,"Very unsatisfactory (20%)")</f>
        <v>0</v>
      </c>
      <c r="AF103" s="27">
        <f t="shared" si="346"/>
        <v>0</v>
      </c>
      <c r="AG103" s="21">
        <f t="shared" si="360"/>
        <v>0</v>
      </c>
      <c r="AH103" s="21">
        <f>COUNTIFS('Data-TED-1'!$AH:$AH,AG$1,'Data-TED-1'!$M:$M,"Very unsatisfactory (20%)")</f>
        <v>0</v>
      </c>
      <c r="AI103" s="27" t="str">
        <f t="shared" si="347"/>
        <v/>
      </c>
      <c r="AJ103" s="21">
        <f t="shared" si="361"/>
        <v>0</v>
      </c>
      <c r="AK103" s="21">
        <f>COUNTIFS('Data-TED-1'!$AH:$AH,AJ$1,'Data-TED-1'!$M:$M,"Very unsatisfactory (20%)")</f>
        <v>0</v>
      </c>
      <c r="AL103" s="27" t="str">
        <f t="shared" si="348"/>
        <v/>
      </c>
      <c r="AM103" s="21">
        <f t="shared" si="362"/>
        <v>0</v>
      </c>
      <c r="AN103" s="21">
        <f>COUNTIFS('Data-TED-1'!$AH:$AH,AM$1,'Data-TED-1'!$M:$M,"Very unsatisfactory (20%)")</f>
        <v>0</v>
      </c>
      <c r="AO103" s="27" t="str">
        <f t="shared" si="349"/>
        <v/>
      </c>
    </row>
    <row r="104" spans="1:41" x14ac:dyDescent="0.3">
      <c r="A104" s="21">
        <v>18</v>
      </c>
      <c r="B104" s="22" t="s">
        <v>86</v>
      </c>
      <c r="C104" s="23"/>
      <c r="D104" s="21"/>
      <c r="E104" s="24"/>
      <c r="F104" s="23"/>
      <c r="G104" s="23"/>
      <c r="H104" s="24"/>
      <c r="I104" s="23"/>
      <c r="J104" s="23"/>
      <c r="K104" s="24"/>
      <c r="L104" s="23"/>
      <c r="M104" s="23"/>
      <c r="N104" s="24"/>
      <c r="O104" s="23"/>
      <c r="P104" s="23"/>
      <c r="Q104" s="24"/>
      <c r="R104" s="23"/>
      <c r="S104" s="23"/>
      <c r="T104" s="24"/>
      <c r="U104" s="23"/>
      <c r="V104" s="23"/>
      <c r="W104" s="24"/>
      <c r="X104" s="23"/>
      <c r="Y104" s="23"/>
      <c r="Z104" s="24"/>
      <c r="AA104" s="23"/>
      <c r="AB104" s="23"/>
      <c r="AC104" s="24"/>
      <c r="AD104" s="23"/>
      <c r="AE104" s="23"/>
      <c r="AF104" s="24"/>
      <c r="AG104" s="23"/>
      <c r="AH104" s="23"/>
      <c r="AI104" s="24"/>
      <c r="AJ104" s="23"/>
      <c r="AK104" s="23"/>
      <c r="AL104" s="24"/>
      <c r="AM104" s="23"/>
      <c r="AN104" s="23"/>
      <c r="AO104" s="24"/>
    </row>
    <row r="105" spans="1:41" x14ac:dyDescent="0.3">
      <c r="A105" s="25"/>
      <c r="B105" s="33" t="s">
        <v>119</v>
      </c>
      <c r="C105" s="21">
        <f>COUNTIF('Data-TED-1'!$N:$N,"&lt;&gt;" &amp; "")-1</f>
        <v>1</v>
      </c>
      <c r="D105" s="21">
        <f t="shared" ref="D105:D109" si="363">G105+J105+M105+P105+S105+V105+Y105+AB105+AE105+AH105+AK105+AN105</f>
        <v>0</v>
      </c>
      <c r="E105" s="27">
        <f t="shared" si="187"/>
        <v>0</v>
      </c>
      <c r="F105" s="21">
        <f>COUNTIFS('Data-TED-1'!$AH:$AH,F$1,'Data-TED-1'!$N:$N,"&lt;&gt;" &amp; "")</f>
        <v>0</v>
      </c>
      <c r="G105" s="21">
        <f>COUNTIFS('Data-TED-1'!$AH:$AH,F$1,'Data-TED-1'!$N:$N,"Very satisfactory (100%)")</f>
        <v>0</v>
      </c>
      <c r="H105" s="27" t="str">
        <f t="shared" si="188"/>
        <v/>
      </c>
      <c r="I105" s="21">
        <f>COUNTIFS('Data-TED-1'!$AH:$AH,I$1,'Data-TED-1'!$N:$N,"&lt;&gt;" &amp; "")</f>
        <v>0</v>
      </c>
      <c r="J105" s="21">
        <f>COUNTIFS('Data-TED-1'!$AH:$AH,I$1,'Data-TED-1'!$N:$N,"Very satisfactory (100%)")</f>
        <v>0</v>
      </c>
      <c r="K105" s="27" t="str">
        <f t="shared" ref="K105:K109" si="364">IF(I105 &lt;&gt; 0,J105/I105,"")</f>
        <v/>
      </c>
      <c r="L105" s="21">
        <f>COUNTIFS('Data-TED-1'!$AH:$AH,L$1,'Data-TED-1'!$N:$N,"&lt;&gt;" &amp; "")</f>
        <v>0</v>
      </c>
      <c r="M105" s="21">
        <f>COUNTIFS('Data-TED-1'!$AH:$AH,L$1,'Data-TED-1'!$N:$N,"Very satisfactory (100%)")</f>
        <v>0</v>
      </c>
      <c r="N105" s="27" t="str">
        <f t="shared" ref="N105:N109" si="365">IF(L105 &lt;&gt; 0,M105/L105,"")</f>
        <v/>
      </c>
      <c r="O105" s="21">
        <f>COUNTIFS('Data-TED-1'!$AH:$AH,O$1,'Data-TED-1'!$N:$N,"&lt;&gt;" &amp; "")</f>
        <v>0</v>
      </c>
      <c r="P105" s="21">
        <f>COUNTIFS('Data-TED-1'!$AH:$AH,O$1,'Data-TED-1'!$N:$N,"Very satisfactory (100%)")</f>
        <v>0</v>
      </c>
      <c r="Q105" s="27" t="str">
        <f t="shared" ref="Q105:Q109" si="366">IF(O105 &lt;&gt; 0,P105/O105,"")</f>
        <v/>
      </c>
      <c r="R105" s="21">
        <f>COUNTIFS('Data-TED-1'!$AH:$AH,R$1,'Data-TED-1'!$N:$N,"&lt;&gt;" &amp; "")</f>
        <v>0</v>
      </c>
      <c r="S105" s="21">
        <f>COUNTIFS('Data-TED-1'!$AH:$AH,R$1,'Data-TED-1'!$N:$N,"Very satisfactory (100%)")</f>
        <v>0</v>
      </c>
      <c r="T105" s="27" t="str">
        <f t="shared" ref="T105:T109" si="367">IF(R105 &lt;&gt; 0,S105/R105,"")</f>
        <v/>
      </c>
      <c r="U105" s="21">
        <f>COUNTIFS('Data-TED-1'!$AH:$AH,U$1,'Data-TED-1'!$N:$N,"&lt;&gt;" &amp; "")</f>
        <v>0</v>
      </c>
      <c r="V105" s="21">
        <f>COUNTIFS('Data-TED-1'!$AH:$AH,U$1,'Data-TED-1'!$N:$N,"Very satisfactory (100%)")</f>
        <v>0</v>
      </c>
      <c r="W105" s="27" t="str">
        <f t="shared" ref="W105:W109" si="368">IF(U105 &lt;&gt; 0,V105/U105,"")</f>
        <v/>
      </c>
      <c r="X105" s="21">
        <f>COUNTIFS('Data-TED-1'!$AH:$AH,X$1,'Data-TED-1'!$N:$N,"&lt;&gt;" &amp; "")</f>
        <v>0</v>
      </c>
      <c r="Y105" s="21">
        <f>COUNTIFS('Data-TED-1'!$AH:$AH,X$1,'Data-TED-1'!$N:$N,"Very satisfactory (100%)")</f>
        <v>0</v>
      </c>
      <c r="Z105" s="27" t="str">
        <f t="shared" ref="Z105:Z109" si="369">IF(X105 &lt;&gt; 0,Y105/X105,"")</f>
        <v/>
      </c>
      <c r="AA105" s="21">
        <f>COUNTIFS('Data-TED-1'!$AH:$AH,AA$1,'Data-TED-1'!$N:$N,"&lt;&gt;" &amp; "")</f>
        <v>0</v>
      </c>
      <c r="AB105" s="21">
        <f>COUNTIFS('Data-TED-1'!$AH:$AH,AA$1,'Data-TED-1'!$N:$N,"Very satisfactory (100%)")</f>
        <v>0</v>
      </c>
      <c r="AC105" s="27" t="str">
        <f t="shared" ref="AC105:AC109" si="370">IF(AA105 &lt;&gt; 0,AB105/AA105,"")</f>
        <v/>
      </c>
      <c r="AD105" s="21">
        <f>COUNTIFS('Data-TED-1'!$AH:$AH,AD$1,'Data-TED-1'!$N:$N,"&lt;&gt;" &amp; "")</f>
        <v>1</v>
      </c>
      <c r="AE105" s="21">
        <f>COUNTIFS('Data-TED-1'!$AH:$AH,AD$1,'Data-TED-1'!$N:$N,"Very satisfactory (100%)")</f>
        <v>0</v>
      </c>
      <c r="AF105" s="27">
        <f t="shared" ref="AF105:AF109" si="371">IF(AD105 &lt;&gt; 0,AE105/AD105,"")</f>
        <v>0</v>
      </c>
      <c r="AG105" s="21">
        <f>COUNTIFS('Data-TED-1'!$AH:$AH,AG$1,'Data-TED-1'!$N:$N,"&lt;&gt;" &amp; "")</f>
        <v>0</v>
      </c>
      <c r="AH105" s="21">
        <f>COUNTIFS('Data-TED-1'!$AH:$AH,AG$1,'Data-TED-1'!$N:$N,"Very satisfactory (100%)")</f>
        <v>0</v>
      </c>
      <c r="AI105" s="27" t="str">
        <f t="shared" ref="AI105:AI109" si="372">IF(AG105 &lt;&gt; 0,AH105/AG105,"")</f>
        <v/>
      </c>
      <c r="AJ105" s="21">
        <f>COUNTIFS('Data-TED-1'!$AH:$AH,AJ$1,'Data-TED-1'!$N:$N,"&lt;&gt;" &amp; "")</f>
        <v>0</v>
      </c>
      <c r="AK105" s="21">
        <f>COUNTIFS('Data-TED-1'!$AH:$AH,AJ$1,'Data-TED-1'!$N:$N,"Very satisfactory (100%)")</f>
        <v>0</v>
      </c>
      <c r="AL105" s="27" t="str">
        <f t="shared" ref="AL105:AL109" si="373">IF(AJ105 &lt;&gt; 0,AK105/AJ105,"")</f>
        <v/>
      </c>
      <c r="AM105" s="21">
        <f>COUNTIFS('Data-TED-1'!$AH:$AH,AM$1,'Data-TED-1'!$N:$N,"&lt;&gt;" &amp; "")</f>
        <v>0</v>
      </c>
      <c r="AN105" s="21">
        <f>COUNTIFS('Data-TED-1'!$AH:$AH,AM$1,'Data-TED-1'!$N:$N,"Very satisfactory (100%)")</f>
        <v>0</v>
      </c>
      <c r="AO105" s="27" t="str">
        <f t="shared" ref="AO105:AO109" si="374">IF(AM105 &lt;&gt; 0,AN105/AM105,"")</f>
        <v/>
      </c>
    </row>
    <row r="106" spans="1:41" x14ac:dyDescent="0.3">
      <c r="A106" s="25"/>
      <c r="B106" s="33" t="s">
        <v>120</v>
      </c>
      <c r="C106" s="21">
        <f>C105</f>
        <v>1</v>
      </c>
      <c r="D106" s="21">
        <f t="shared" si="363"/>
        <v>0</v>
      </c>
      <c r="E106" s="27">
        <f t="shared" si="187"/>
        <v>0</v>
      </c>
      <c r="F106" s="21">
        <f>F105</f>
        <v>0</v>
      </c>
      <c r="G106" s="21">
        <f>COUNTIFS('Data-TED-1'!$AH:$AH,F$1,'Data-TED-1'!$N:$N,"Satisfactory (80%)")</f>
        <v>0</v>
      </c>
      <c r="H106" s="27" t="str">
        <f t="shared" si="188"/>
        <v/>
      </c>
      <c r="I106" s="21">
        <f>I105</f>
        <v>0</v>
      </c>
      <c r="J106" s="21">
        <f>COUNTIFS('Data-TED-1'!$AH:$AH,I$1,'Data-TED-1'!$N:$N,"Satisfactory (80%)")</f>
        <v>0</v>
      </c>
      <c r="K106" s="27" t="str">
        <f t="shared" si="364"/>
        <v/>
      </c>
      <c r="L106" s="21">
        <f>L105</f>
        <v>0</v>
      </c>
      <c r="M106" s="21">
        <f>COUNTIFS('Data-TED-1'!$AH:$AH,L$1,'Data-TED-1'!$N:$N,"Satisfactory (80%)")</f>
        <v>0</v>
      </c>
      <c r="N106" s="27" t="str">
        <f t="shared" si="365"/>
        <v/>
      </c>
      <c r="O106" s="21">
        <f>O105</f>
        <v>0</v>
      </c>
      <c r="P106" s="21">
        <f>COUNTIFS('Data-TED-1'!$AH:$AH,O$1,'Data-TED-1'!$N:$N,"Satisfactory (80%)")</f>
        <v>0</v>
      </c>
      <c r="Q106" s="27" t="str">
        <f t="shared" si="366"/>
        <v/>
      </c>
      <c r="R106" s="21">
        <f>R105</f>
        <v>0</v>
      </c>
      <c r="S106" s="21">
        <f>COUNTIFS('Data-TED-1'!$AH:$AH,R$1,'Data-TED-1'!$N:$N,"Satisfactory (80%)")</f>
        <v>0</v>
      </c>
      <c r="T106" s="27" t="str">
        <f t="shared" si="367"/>
        <v/>
      </c>
      <c r="U106" s="21">
        <f>U105</f>
        <v>0</v>
      </c>
      <c r="V106" s="21">
        <f>COUNTIFS('Data-TED-1'!$AH:$AH,U$1,'Data-TED-1'!$N:$N,"Satisfactory (80%)")</f>
        <v>0</v>
      </c>
      <c r="W106" s="27" t="str">
        <f t="shared" si="368"/>
        <v/>
      </c>
      <c r="X106" s="21">
        <f>X105</f>
        <v>0</v>
      </c>
      <c r="Y106" s="21">
        <f>COUNTIFS('Data-TED-1'!$AH:$AH,X$1,'Data-TED-1'!$N:$N,"Satisfactory (80%)")</f>
        <v>0</v>
      </c>
      <c r="Z106" s="27" t="str">
        <f t="shared" si="369"/>
        <v/>
      </c>
      <c r="AA106" s="21">
        <f>AA105</f>
        <v>0</v>
      </c>
      <c r="AB106" s="21">
        <f>COUNTIFS('Data-TED-1'!$AH:$AH,AA$1,'Data-TED-1'!$N:$N,"Satisfactory (80%)")</f>
        <v>0</v>
      </c>
      <c r="AC106" s="27" t="str">
        <f t="shared" si="370"/>
        <v/>
      </c>
      <c r="AD106" s="21">
        <f>AD105</f>
        <v>1</v>
      </c>
      <c r="AE106" s="21">
        <f>COUNTIFS('Data-TED-1'!$AH:$AH,AD$1,'Data-TED-1'!$N:$N,"Satisfactory (80%)")</f>
        <v>0</v>
      </c>
      <c r="AF106" s="27">
        <f t="shared" si="371"/>
        <v>0</v>
      </c>
      <c r="AG106" s="21">
        <f>AG105</f>
        <v>0</v>
      </c>
      <c r="AH106" s="21">
        <f>COUNTIFS('Data-TED-1'!$AH:$AH,AG$1,'Data-TED-1'!$N:$N,"Satisfactory (80%)")</f>
        <v>0</v>
      </c>
      <c r="AI106" s="27" t="str">
        <f t="shared" si="372"/>
        <v/>
      </c>
      <c r="AJ106" s="21">
        <f>AJ105</f>
        <v>0</v>
      </c>
      <c r="AK106" s="21">
        <f>COUNTIFS('Data-TED-1'!$AH:$AH,AJ$1,'Data-TED-1'!$N:$N,"Satisfactory (80%)")</f>
        <v>0</v>
      </c>
      <c r="AL106" s="27" t="str">
        <f t="shared" si="373"/>
        <v/>
      </c>
      <c r="AM106" s="21">
        <f>AM105</f>
        <v>0</v>
      </c>
      <c r="AN106" s="21">
        <f>COUNTIFS('Data-TED-1'!$AH:$AH,AM$1,'Data-TED-1'!$N:$N,"Satisfactory (80%)")</f>
        <v>0</v>
      </c>
      <c r="AO106" s="27" t="str">
        <f t="shared" si="374"/>
        <v/>
      </c>
    </row>
    <row r="107" spans="1:41" x14ac:dyDescent="0.3">
      <c r="A107" s="25"/>
      <c r="B107" s="33" t="s">
        <v>121</v>
      </c>
      <c r="C107" s="21">
        <f t="shared" ref="C107:C109" si="375">C106</f>
        <v>1</v>
      </c>
      <c r="D107" s="21">
        <f t="shared" si="363"/>
        <v>0</v>
      </c>
      <c r="E107" s="27">
        <f t="shared" si="187"/>
        <v>0</v>
      </c>
      <c r="F107" s="21">
        <f t="shared" ref="F107:F109" si="376">F106</f>
        <v>0</v>
      </c>
      <c r="G107" s="21">
        <f>COUNTIFS('Data-TED-1'!$AH:$AH,F$1,'Data-TED-1'!$N:$N,"Average (60%)")</f>
        <v>0</v>
      </c>
      <c r="H107" s="27" t="str">
        <f t="shared" si="188"/>
        <v/>
      </c>
      <c r="I107" s="21">
        <f t="shared" ref="I107:I109" si="377">I106</f>
        <v>0</v>
      </c>
      <c r="J107" s="21">
        <f>COUNTIFS('Data-TED-1'!$AH:$AH,I$1,'Data-TED-1'!$N:$N,"Average (60%)")</f>
        <v>0</v>
      </c>
      <c r="K107" s="27" t="str">
        <f t="shared" si="364"/>
        <v/>
      </c>
      <c r="L107" s="21">
        <f t="shared" ref="L107:L109" si="378">L106</f>
        <v>0</v>
      </c>
      <c r="M107" s="21">
        <f>COUNTIFS('Data-TED-1'!$AH:$AH,L$1,'Data-TED-1'!$N:$N,"Average (60%)")</f>
        <v>0</v>
      </c>
      <c r="N107" s="27" t="str">
        <f t="shared" si="365"/>
        <v/>
      </c>
      <c r="O107" s="21">
        <f t="shared" ref="O107:O109" si="379">O106</f>
        <v>0</v>
      </c>
      <c r="P107" s="21">
        <f>COUNTIFS('Data-TED-1'!$AH:$AH,O$1,'Data-TED-1'!$N:$N,"Average (60%)")</f>
        <v>0</v>
      </c>
      <c r="Q107" s="27" t="str">
        <f t="shared" si="366"/>
        <v/>
      </c>
      <c r="R107" s="21">
        <f t="shared" ref="R107:R109" si="380">R106</f>
        <v>0</v>
      </c>
      <c r="S107" s="21">
        <f>COUNTIFS('Data-TED-1'!$AH:$AH,R$1,'Data-TED-1'!$N:$N,"Average (60%)")</f>
        <v>0</v>
      </c>
      <c r="T107" s="27" t="str">
        <f t="shared" si="367"/>
        <v/>
      </c>
      <c r="U107" s="21">
        <f t="shared" ref="U107:U109" si="381">U106</f>
        <v>0</v>
      </c>
      <c r="V107" s="21">
        <f>COUNTIFS('Data-TED-1'!$AH:$AH,U$1,'Data-TED-1'!$N:$N,"Average (60%)")</f>
        <v>0</v>
      </c>
      <c r="W107" s="27" t="str">
        <f t="shared" si="368"/>
        <v/>
      </c>
      <c r="X107" s="21">
        <f t="shared" ref="X107:X109" si="382">X106</f>
        <v>0</v>
      </c>
      <c r="Y107" s="21">
        <f>COUNTIFS('Data-TED-1'!$AH:$AH,X$1,'Data-TED-1'!$N:$N,"Average (60%)")</f>
        <v>0</v>
      </c>
      <c r="Z107" s="27" t="str">
        <f t="shared" si="369"/>
        <v/>
      </c>
      <c r="AA107" s="21">
        <f t="shared" ref="AA107:AA109" si="383">AA106</f>
        <v>0</v>
      </c>
      <c r="AB107" s="21">
        <f>COUNTIFS('Data-TED-1'!$AH:$AH,AA$1,'Data-TED-1'!$N:$N,"Average (60%)")</f>
        <v>0</v>
      </c>
      <c r="AC107" s="27" t="str">
        <f t="shared" si="370"/>
        <v/>
      </c>
      <c r="AD107" s="21">
        <f t="shared" ref="AD107:AD109" si="384">AD106</f>
        <v>1</v>
      </c>
      <c r="AE107" s="21">
        <f>COUNTIFS('Data-TED-1'!$AH:$AH,AD$1,'Data-TED-1'!$N:$N,"Average (60%)")</f>
        <v>0</v>
      </c>
      <c r="AF107" s="27">
        <f t="shared" si="371"/>
        <v>0</v>
      </c>
      <c r="AG107" s="21">
        <f t="shared" ref="AG107:AG109" si="385">AG106</f>
        <v>0</v>
      </c>
      <c r="AH107" s="21">
        <f>COUNTIFS('Data-TED-1'!$AH:$AH,AG$1,'Data-TED-1'!$N:$N,"Average (60%)")</f>
        <v>0</v>
      </c>
      <c r="AI107" s="27" t="str">
        <f t="shared" si="372"/>
        <v/>
      </c>
      <c r="AJ107" s="21">
        <f t="shared" ref="AJ107:AJ109" si="386">AJ106</f>
        <v>0</v>
      </c>
      <c r="AK107" s="21">
        <f>COUNTIFS('Data-TED-1'!$AH:$AH,AJ$1,'Data-TED-1'!$N:$N,"Average (60%)")</f>
        <v>0</v>
      </c>
      <c r="AL107" s="27" t="str">
        <f t="shared" si="373"/>
        <v/>
      </c>
      <c r="AM107" s="21">
        <f t="shared" ref="AM107:AM109" si="387">AM106</f>
        <v>0</v>
      </c>
      <c r="AN107" s="21">
        <f>COUNTIFS('Data-TED-1'!$AH:$AH,AM$1,'Data-TED-1'!$N:$N,"Average (60%)")</f>
        <v>0</v>
      </c>
      <c r="AO107" s="27" t="str">
        <f t="shared" si="374"/>
        <v/>
      </c>
    </row>
    <row r="108" spans="1:41" x14ac:dyDescent="0.3">
      <c r="A108" s="25"/>
      <c r="B108" s="33" t="s">
        <v>122</v>
      </c>
      <c r="C108" s="21">
        <f t="shared" si="375"/>
        <v>1</v>
      </c>
      <c r="D108" s="21">
        <f t="shared" si="363"/>
        <v>1</v>
      </c>
      <c r="E108" s="27">
        <f t="shared" si="187"/>
        <v>1</v>
      </c>
      <c r="F108" s="21">
        <f t="shared" si="376"/>
        <v>0</v>
      </c>
      <c r="G108" s="21">
        <f>COUNTIFS('Data-TED-1'!$AH:$AH,F$1,'Data-TED-1'!$N:$N,"Unsatisfactory (40%)")</f>
        <v>0</v>
      </c>
      <c r="H108" s="27" t="str">
        <f t="shared" si="188"/>
        <v/>
      </c>
      <c r="I108" s="21">
        <f t="shared" si="377"/>
        <v>0</v>
      </c>
      <c r="J108" s="21">
        <f>COUNTIFS('Data-TED-1'!$AH:$AH,I$1,'Data-TED-1'!$N:$N,"Unsatisfactory (40%)")</f>
        <v>0</v>
      </c>
      <c r="K108" s="27" t="str">
        <f t="shared" si="364"/>
        <v/>
      </c>
      <c r="L108" s="21">
        <f t="shared" si="378"/>
        <v>0</v>
      </c>
      <c r="M108" s="21">
        <f>COUNTIFS('Data-TED-1'!$AH:$AH,L$1,'Data-TED-1'!$N:$N,"Unsatisfactory (40%)")</f>
        <v>0</v>
      </c>
      <c r="N108" s="27" t="str">
        <f t="shared" si="365"/>
        <v/>
      </c>
      <c r="O108" s="21">
        <f t="shared" si="379"/>
        <v>0</v>
      </c>
      <c r="P108" s="21">
        <f>COUNTIFS('Data-TED-1'!$AH:$AH,O$1,'Data-TED-1'!$N:$N,"Unsatisfactory (40%)")</f>
        <v>0</v>
      </c>
      <c r="Q108" s="27" t="str">
        <f t="shared" si="366"/>
        <v/>
      </c>
      <c r="R108" s="21">
        <f t="shared" si="380"/>
        <v>0</v>
      </c>
      <c r="S108" s="21">
        <f>COUNTIFS('Data-TED-1'!$AH:$AH,R$1,'Data-TED-1'!$N:$N,"Unsatisfactory (40%)")</f>
        <v>0</v>
      </c>
      <c r="T108" s="27" t="str">
        <f t="shared" si="367"/>
        <v/>
      </c>
      <c r="U108" s="21">
        <f t="shared" si="381"/>
        <v>0</v>
      </c>
      <c r="V108" s="21">
        <f>COUNTIFS('Data-TED-1'!$AH:$AH,U$1,'Data-TED-1'!$N:$N,"Unsatisfactory (40%)")</f>
        <v>0</v>
      </c>
      <c r="W108" s="27" t="str">
        <f t="shared" si="368"/>
        <v/>
      </c>
      <c r="X108" s="21">
        <f t="shared" si="382"/>
        <v>0</v>
      </c>
      <c r="Y108" s="21">
        <f>COUNTIFS('Data-TED-1'!$AH:$AH,X$1,'Data-TED-1'!$N:$N,"Unsatisfactory (40%)")</f>
        <v>0</v>
      </c>
      <c r="Z108" s="27" t="str">
        <f t="shared" si="369"/>
        <v/>
      </c>
      <c r="AA108" s="21">
        <f t="shared" si="383"/>
        <v>0</v>
      </c>
      <c r="AB108" s="21">
        <f>COUNTIFS('Data-TED-1'!$AH:$AH,AA$1,'Data-TED-1'!$N:$N,"Unsatisfactory (40%)")</f>
        <v>0</v>
      </c>
      <c r="AC108" s="27" t="str">
        <f t="shared" si="370"/>
        <v/>
      </c>
      <c r="AD108" s="21">
        <f t="shared" si="384"/>
        <v>1</v>
      </c>
      <c r="AE108" s="21">
        <f>COUNTIFS('Data-TED-1'!$AH:$AH,AD$1,'Data-TED-1'!$N:$N,"Unsatisfactory (40%)")</f>
        <v>1</v>
      </c>
      <c r="AF108" s="27">
        <f t="shared" si="371"/>
        <v>1</v>
      </c>
      <c r="AG108" s="21">
        <f t="shared" si="385"/>
        <v>0</v>
      </c>
      <c r="AH108" s="21">
        <f>COUNTIFS('Data-TED-1'!$AH:$AH,AG$1,'Data-TED-1'!$N:$N,"Unsatisfactory (40%)")</f>
        <v>0</v>
      </c>
      <c r="AI108" s="27" t="str">
        <f t="shared" si="372"/>
        <v/>
      </c>
      <c r="AJ108" s="21">
        <f t="shared" si="386"/>
        <v>0</v>
      </c>
      <c r="AK108" s="21">
        <f>COUNTIFS('Data-TED-1'!$AH:$AH,AJ$1,'Data-TED-1'!$N:$N,"Unsatisfactory (40%)")</f>
        <v>0</v>
      </c>
      <c r="AL108" s="27" t="str">
        <f t="shared" si="373"/>
        <v/>
      </c>
      <c r="AM108" s="21">
        <f t="shared" si="387"/>
        <v>0</v>
      </c>
      <c r="AN108" s="21">
        <f>COUNTIFS('Data-TED-1'!$AH:$AH,AM$1,'Data-TED-1'!$N:$N,"Unsatisfactory (40%)")</f>
        <v>0</v>
      </c>
      <c r="AO108" s="27" t="str">
        <f t="shared" si="374"/>
        <v/>
      </c>
    </row>
    <row r="109" spans="1:41" x14ac:dyDescent="0.3">
      <c r="A109" s="25"/>
      <c r="B109" s="33" t="s">
        <v>123</v>
      </c>
      <c r="C109" s="21">
        <f t="shared" si="375"/>
        <v>1</v>
      </c>
      <c r="D109" s="21">
        <f t="shared" si="363"/>
        <v>0</v>
      </c>
      <c r="E109" s="27">
        <f t="shared" si="187"/>
        <v>0</v>
      </c>
      <c r="F109" s="21">
        <f t="shared" si="376"/>
        <v>0</v>
      </c>
      <c r="G109" s="21">
        <f>COUNTIFS('Data-TED-1'!$AH:$AH,F$1,'Data-TED-1'!$N:$N,"Very unsatisfactory (20%)")</f>
        <v>0</v>
      </c>
      <c r="H109" s="27" t="str">
        <f t="shared" si="188"/>
        <v/>
      </c>
      <c r="I109" s="21">
        <f t="shared" si="377"/>
        <v>0</v>
      </c>
      <c r="J109" s="21">
        <f>COUNTIFS('Data-TED-1'!$AH:$AH,I$1,'Data-TED-1'!$N:$N,"Very unsatisfactory (20%)")</f>
        <v>0</v>
      </c>
      <c r="K109" s="27" t="str">
        <f t="shared" si="364"/>
        <v/>
      </c>
      <c r="L109" s="21">
        <f t="shared" si="378"/>
        <v>0</v>
      </c>
      <c r="M109" s="21">
        <f>COUNTIFS('Data-TED-1'!$AH:$AH,L$1,'Data-TED-1'!$N:$N,"Very unsatisfactory (20%)")</f>
        <v>0</v>
      </c>
      <c r="N109" s="27" t="str">
        <f t="shared" si="365"/>
        <v/>
      </c>
      <c r="O109" s="21">
        <f t="shared" si="379"/>
        <v>0</v>
      </c>
      <c r="P109" s="21">
        <f>COUNTIFS('Data-TED-1'!$AH:$AH,O$1,'Data-TED-1'!$N:$N,"Very unsatisfactory (20%)")</f>
        <v>0</v>
      </c>
      <c r="Q109" s="27" t="str">
        <f t="shared" si="366"/>
        <v/>
      </c>
      <c r="R109" s="21">
        <f t="shared" si="380"/>
        <v>0</v>
      </c>
      <c r="S109" s="21">
        <f>COUNTIFS('Data-TED-1'!$AH:$AH,R$1,'Data-TED-1'!$N:$N,"Very unsatisfactory (20%)")</f>
        <v>0</v>
      </c>
      <c r="T109" s="27" t="str">
        <f t="shared" si="367"/>
        <v/>
      </c>
      <c r="U109" s="21">
        <f t="shared" si="381"/>
        <v>0</v>
      </c>
      <c r="V109" s="21">
        <f>COUNTIFS('Data-TED-1'!$AH:$AH,U$1,'Data-TED-1'!$N:$N,"Very unsatisfactory (20%)")</f>
        <v>0</v>
      </c>
      <c r="W109" s="27" t="str">
        <f t="shared" si="368"/>
        <v/>
      </c>
      <c r="X109" s="21">
        <f t="shared" si="382"/>
        <v>0</v>
      </c>
      <c r="Y109" s="21">
        <f>COUNTIFS('Data-TED-1'!$AH:$AH,X$1,'Data-TED-1'!$N:$N,"Very unsatisfactory (20%)")</f>
        <v>0</v>
      </c>
      <c r="Z109" s="27" t="str">
        <f t="shared" si="369"/>
        <v/>
      </c>
      <c r="AA109" s="21">
        <f t="shared" si="383"/>
        <v>0</v>
      </c>
      <c r="AB109" s="21">
        <f>COUNTIFS('Data-TED-1'!$AH:$AH,AA$1,'Data-TED-1'!$N:$N,"Very unsatisfactory (20%)")</f>
        <v>0</v>
      </c>
      <c r="AC109" s="27" t="str">
        <f t="shared" si="370"/>
        <v/>
      </c>
      <c r="AD109" s="21">
        <f t="shared" si="384"/>
        <v>1</v>
      </c>
      <c r="AE109" s="21">
        <f>COUNTIFS('Data-TED-1'!$AH:$AH,AD$1,'Data-TED-1'!$N:$N,"Very unsatisfactory (20%)")</f>
        <v>0</v>
      </c>
      <c r="AF109" s="27">
        <f t="shared" si="371"/>
        <v>0</v>
      </c>
      <c r="AG109" s="21">
        <f t="shared" si="385"/>
        <v>0</v>
      </c>
      <c r="AH109" s="21">
        <f>COUNTIFS('Data-TED-1'!$AH:$AH,AG$1,'Data-TED-1'!$N:$N,"Very unsatisfactory (20%)")</f>
        <v>0</v>
      </c>
      <c r="AI109" s="27" t="str">
        <f t="shared" si="372"/>
        <v/>
      </c>
      <c r="AJ109" s="21">
        <f t="shared" si="386"/>
        <v>0</v>
      </c>
      <c r="AK109" s="21">
        <f>COUNTIFS('Data-TED-1'!$AH:$AH,AJ$1,'Data-TED-1'!$N:$N,"Very unsatisfactory (20%)")</f>
        <v>0</v>
      </c>
      <c r="AL109" s="27" t="str">
        <f t="shared" si="373"/>
        <v/>
      </c>
      <c r="AM109" s="21">
        <f t="shared" si="387"/>
        <v>0</v>
      </c>
      <c r="AN109" s="21">
        <f>COUNTIFS('Data-TED-1'!$AH:$AH,AM$1,'Data-TED-1'!$N:$N,"Very unsatisfactory (20%)")</f>
        <v>0</v>
      </c>
      <c r="AO109" s="27" t="str">
        <f t="shared" si="374"/>
        <v/>
      </c>
    </row>
    <row r="110" spans="1:41" ht="27.6" x14ac:dyDescent="0.3">
      <c r="A110" s="21">
        <v>19</v>
      </c>
      <c r="B110" s="52" t="s">
        <v>87</v>
      </c>
      <c r="C110" s="23"/>
      <c r="D110" s="21"/>
      <c r="E110" s="24"/>
      <c r="F110" s="23"/>
      <c r="G110" s="23"/>
      <c r="H110" s="24"/>
      <c r="I110" s="23"/>
      <c r="J110" s="23"/>
      <c r="K110" s="24"/>
      <c r="L110" s="23"/>
      <c r="M110" s="23"/>
      <c r="N110" s="24"/>
      <c r="O110" s="23"/>
      <c r="P110" s="23"/>
      <c r="Q110" s="24"/>
      <c r="R110" s="23"/>
      <c r="S110" s="23"/>
      <c r="T110" s="24"/>
      <c r="U110" s="23"/>
      <c r="V110" s="23"/>
      <c r="W110" s="24"/>
      <c r="X110" s="23"/>
      <c r="Y110" s="23"/>
      <c r="Z110" s="24"/>
      <c r="AA110" s="23"/>
      <c r="AB110" s="23"/>
      <c r="AC110" s="24"/>
      <c r="AD110" s="23"/>
      <c r="AE110" s="23"/>
      <c r="AF110" s="24"/>
      <c r="AG110" s="23"/>
      <c r="AH110" s="23"/>
      <c r="AI110" s="24"/>
      <c r="AJ110" s="23"/>
      <c r="AK110" s="23"/>
      <c r="AL110" s="24"/>
      <c r="AM110" s="23"/>
      <c r="AN110" s="23"/>
      <c r="AO110" s="24"/>
    </row>
    <row r="111" spans="1:41" x14ac:dyDescent="0.3">
      <c r="A111" s="25"/>
      <c r="B111" s="33" t="s">
        <v>119</v>
      </c>
      <c r="C111" s="21">
        <f>COUNTIF('Data-TED-1'!$O:$O,"&lt;&gt;" &amp; "")-1</f>
        <v>1</v>
      </c>
      <c r="D111" s="21">
        <f t="shared" ref="D111:D115" si="388">G111+J111+M111+P111+S111+V111+Y111+AB111+AE111+AH111+AK111+AN111</f>
        <v>0</v>
      </c>
      <c r="E111" s="27">
        <f t="shared" si="187"/>
        <v>0</v>
      </c>
      <c r="F111" s="21">
        <f>COUNTIFS('Data-TED-1'!$AH:$AH,F$1,'Data-TED-1'!$O:$O,"&lt;&gt;" &amp; "")</f>
        <v>0</v>
      </c>
      <c r="G111" s="21">
        <f>COUNTIFS('Data-TED-1'!$AH:$AH,F$1,'Data-TED-1'!$O:$O,"Very satisfactory (100%)")</f>
        <v>0</v>
      </c>
      <c r="H111" s="27" t="str">
        <f t="shared" si="188"/>
        <v/>
      </c>
      <c r="I111" s="21">
        <f>COUNTIFS('Data-TED-1'!$AH:$AH,I$1,'Data-TED-1'!$O:$O,"&lt;&gt;" &amp; "")</f>
        <v>0</v>
      </c>
      <c r="J111" s="21">
        <f>COUNTIFS('Data-TED-1'!$AH:$AH,I$1,'Data-TED-1'!$O:$O,"Very satisfactory (100%)")</f>
        <v>0</v>
      </c>
      <c r="K111" s="27" t="str">
        <f t="shared" ref="K111:K115" si="389">IF(I111 &lt;&gt; 0,J111/I111,"")</f>
        <v/>
      </c>
      <c r="L111" s="21">
        <f>COUNTIFS('Data-TED-1'!$AH:$AH,L$1,'Data-TED-1'!$O:$O,"&lt;&gt;" &amp; "")</f>
        <v>0</v>
      </c>
      <c r="M111" s="21">
        <f>COUNTIFS('Data-TED-1'!$AH:$AH,L$1,'Data-TED-1'!$O:$O,"Very satisfactory (100%)")</f>
        <v>0</v>
      </c>
      <c r="N111" s="27" t="str">
        <f t="shared" ref="N111:N115" si="390">IF(L111 &lt;&gt; 0,M111/L111,"")</f>
        <v/>
      </c>
      <c r="O111" s="21">
        <f>COUNTIFS('Data-TED-1'!$AH:$AH,O$1,'Data-TED-1'!$O:$O,"&lt;&gt;" &amp; "")</f>
        <v>0</v>
      </c>
      <c r="P111" s="21">
        <f>COUNTIFS('Data-TED-1'!$AH:$AH,O$1,'Data-TED-1'!$O:$O,"Very satisfactory (100%)")</f>
        <v>0</v>
      </c>
      <c r="Q111" s="27" t="str">
        <f t="shared" ref="Q111:Q115" si="391">IF(O111 &lt;&gt; 0,P111/O111,"")</f>
        <v/>
      </c>
      <c r="R111" s="21">
        <f>COUNTIFS('Data-TED-1'!$AH:$AH,R$1,'Data-TED-1'!$O:$O,"&lt;&gt;" &amp; "")</f>
        <v>0</v>
      </c>
      <c r="S111" s="21">
        <f>COUNTIFS('Data-TED-1'!$AH:$AH,R$1,'Data-TED-1'!$O:$O,"Very satisfactory (100%)")</f>
        <v>0</v>
      </c>
      <c r="T111" s="27" t="str">
        <f t="shared" ref="T111:T115" si="392">IF(R111 &lt;&gt; 0,S111/R111,"")</f>
        <v/>
      </c>
      <c r="U111" s="21">
        <f>COUNTIFS('Data-TED-1'!$AH:$AH,U$1,'Data-TED-1'!$O:$O,"&lt;&gt;" &amp; "")</f>
        <v>0</v>
      </c>
      <c r="V111" s="21">
        <f>COUNTIFS('Data-TED-1'!$AH:$AH,U$1,'Data-TED-1'!$O:$O,"Very satisfactory (100%)")</f>
        <v>0</v>
      </c>
      <c r="W111" s="27" t="str">
        <f t="shared" ref="W111:W115" si="393">IF(U111 &lt;&gt; 0,V111/U111,"")</f>
        <v/>
      </c>
      <c r="X111" s="21">
        <f>COUNTIFS('Data-TED-1'!$AH:$AH,X$1,'Data-TED-1'!$O:$O,"&lt;&gt;" &amp; "")</f>
        <v>0</v>
      </c>
      <c r="Y111" s="21">
        <f>COUNTIFS('Data-TED-1'!$AH:$AH,X$1,'Data-TED-1'!$O:$O,"Very satisfactory (100%)")</f>
        <v>0</v>
      </c>
      <c r="Z111" s="27" t="str">
        <f t="shared" ref="Z111:Z115" si="394">IF(X111 &lt;&gt; 0,Y111/X111,"")</f>
        <v/>
      </c>
      <c r="AA111" s="21">
        <f>COUNTIFS('Data-TED-1'!$AH:$AH,AA$1,'Data-TED-1'!$O:$O,"&lt;&gt;" &amp; "")</f>
        <v>0</v>
      </c>
      <c r="AB111" s="21">
        <f>COUNTIFS('Data-TED-1'!$AH:$AH,AA$1,'Data-TED-1'!$O:$O,"Very satisfactory (100%)")</f>
        <v>0</v>
      </c>
      <c r="AC111" s="27" t="str">
        <f t="shared" ref="AC111:AC115" si="395">IF(AA111 &lt;&gt; 0,AB111/AA111,"")</f>
        <v/>
      </c>
      <c r="AD111" s="21">
        <f>COUNTIFS('Data-TED-1'!$AH:$AH,AD$1,'Data-TED-1'!$O:$O,"&lt;&gt;" &amp; "")</f>
        <v>1</v>
      </c>
      <c r="AE111" s="21">
        <f>COUNTIFS('Data-TED-1'!$AH:$AH,AD$1,'Data-TED-1'!$O:$O,"Very satisfactory (100%)")</f>
        <v>0</v>
      </c>
      <c r="AF111" s="27">
        <f t="shared" ref="AF111:AF115" si="396">IF(AD111 &lt;&gt; 0,AE111/AD111,"")</f>
        <v>0</v>
      </c>
      <c r="AG111" s="21">
        <f>COUNTIFS('Data-TED-1'!$AH:$AH,AG$1,'Data-TED-1'!$O:$O,"&lt;&gt;" &amp; "")</f>
        <v>0</v>
      </c>
      <c r="AH111" s="21">
        <f>COUNTIFS('Data-TED-1'!$AH:$AH,AG$1,'Data-TED-1'!$O:$O,"Very satisfactory (100%)")</f>
        <v>0</v>
      </c>
      <c r="AI111" s="27" t="str">
        <f t="shared" ref="AI111:AI115" si="397">IF(AG111 &lt;&gt; 0,AH111/AG111,"")</f>
        <v/>
      </c>
      <c r="AJ111" s="21">
        <f>COUNTIFS('Data-TED-1'!$AH:$AH,AJ$1,'Data-TED-1'!$O:$O,"&lt;&gt;" &amp; "")</f>
        <v>0</v>
      </c>
      <c r="AK111" s="21">
        <f>COUNTIFS('Data-TED-1'!$AH:$AH,AJ$1,'Data-TED-1'!$O:$O,"Very satisfactory (100%)")</f>
        <v>0</v>
      </c>
      <c r="AL111" s="27" t="str">
        <f t="shared" ref="AL111:AL115" si="398">IF(AJ111 &lt;&gt; 0,AK111/AJ111,"")</f>
        <v/>
      </c>
      <c r="AM111" s="21">
        <f>COUNTIFS('Data-TED-1'!$AH:$AH,AM$1,'Data-TED-1'!$O:$O,"&lt;&gt;" &amp; "")</f>
        <v>0</v>
      </c>
      <c r="AN111" s="21">
        <f>COUNTIFS('Data-TED-1'!$AH:$AH,AM$1,'Data-TED-1'!$O:$O,"Very satisfactory (100%)")</f>
        <v>0</v>
      </c>
      <c r="AO111" s="27" t="str">
        <f t="shared" ref="AO111:AO115" si="399">IF(AM111 &lt;&gt; 0,AN111/AM111,"")</f>
        <v/>
      </c>
    </row>
    <row r="112" spans="1:41" ht="21" customHeight="1" x14ac:dyDescent="0.3">
      <c r="A112" s="25"/>
      <c r="B112" s="33" t="s">
        <v>120</v>
      </c>
      <c r="C112" s="21">
        <f>C111</f>
        <v>1</v>
      </c>
      <c r="D112" s="21">
        <f t="shared" si="388"/>
        <v>1</v>
      </c>
      <c r="E112" s="27">
        <f t="shared" si="187"/>
        <v>1</v>
      </c>
      <c r="F112" s="21">
        <f>F111</f>
        <v>0</v>
      </c>
      <c r="G112" s="21">
        <f>COUNTIFS('Data-TED-1'!$AH:$AH,F$1,'Data-TED-1'!$O:$O,"Satisfactory (80%)")</f>
        <v>0</v>
      </c>
      <c r="H112" s="27" t="str">
        <f t="shared" si="188"/>
        <v/>
      </c>
      <c r="I112" s="21">
        <f>I111</f>
        <v>0</v>
      </c>
      <c r="J112" s="21">
        <f>COUNTIFS('Data-TED-1'!$AH:$AH,I$1,'Data-TED-1'!$O:$O,"Satisfactory (80%)")</f>
        <v>0</v>
      </c>
      <c r="K112" s="27" t="str">
        <f t="shared" si="389"/>
        <v/>
      </c>
      <c r="L112" s="21">
        <f>L111</f>
        <v>0</v>
      </c>
      <c r="M112" s="21">
        <f>COUNTIFS('Data-TED-1'!$AH:$AH,L$1,'Data-TED-1'!$O:$O,"Satisfactory (80%)")</f>
        <v>0</v>
      </c>
      <c r="N112" s="27" t="str">
        <f t="shared" si="390"/>
        <v/>
      </c>
      <c r="O112" s="21">
        <f>O111</f>
        <v>0</v>
      </c>
      <c r="P112" s="21">
        <f>COUNTIFS('Data-TED-1'!$AH:$AH,O$1,'Data-TED-1'!$O:$O,"Satisfactory (80%)")</f>
        <v>0</v>
      </c>
      <c r="Q112" s="27" t="str">
        <f t="shared" si="391"/>
        <v/>
      </c>
      <c r="R112" s="21">
        <f>R111</f>
        <v>0</v>
      </c>
      <c r="S112" s="21">
        <f>COUNTIFS('Data-TED-1'!$AH:$AH,R$1,'Data-TED-1'!$O:$O,"Satisfactory (80%)")</f>
        <v>0</v>
      </c>
      <c r="T112" s="27" t="str">
        <f t="shared" si="392"/>
        <v/>
      </c>
      <c r="U112" s="21">
        <f>U111</f>
        <v>0</v>
      </c>
      <c r="V112" s="21">
        <f>COUNTIFS('Data-TED-1'!$AH:$AH,U$1,'Data-TED-1'!$O:$O,"Satisfactory (80%)")</f>
        <v>0</v>
      </c>
      <c r="W112" s="27" t="str">
        <f t="shared" si="393"/>
        <v/>
      </c>
      <c r="X112" s="21">
        <f>X111</f>
        <v>0</v>
      </c>
      <c r="Y112" s="21">
        <f>COUNTIFS('Data-TED-1'!$AH:$AH,X$1,'Data-TED-1'!$O:$O,"Satisfactory (80%)")</f>
        <v>0</v>
      </c>
      <c r="Z112" s="27" t="str">
        <f t="shared" si="394"/>
        <v/>
      </c>
      <c r="AA112" s="21">
        <f>AA111</f>
        <v>0</v>
      </c>
      <c r="AB112" s="21">
        <f>COUNTIFS('Data-TED-1'!$AH:$AH,AA$1,'Data-TED-1'!$O:$O,"Satisfactory (80%)")</f>
        <v>0</v>
      </c>
      <c r="AC112" s="27" t="str">
        <f t="shared" si="395"/>
        <v/>
      </c>
      <c r="AD112" s="21">
        <f>AD111</f>
        <v>1</v>
      </c>
      <c r="AE112" s="21">
        <f>COUNTIFS('Data-TED-1'!$AH:$AH,AD$1,'Data-TED-1'!$O:$O,"Satisfactory (80%)")</f>
        <v>1</v>
      </c>
      <c r="AF112" s="27">
        <f t="shared" si="396"/>
        <v>1</v>
      </c>
      <c r="AG112" s="21">
        <f>AG111</f>
        <v>0</v>
      </c>
      <c r="AH112" s="21">
        <f>COUNTIFS('Data-TED-1'!$AH:$AH,AG$1,'Data-TED-1'!$O:$O,"Satisfactory (80%)")</f>
        <v>0</v>
      </c>
      <c r="AI112" s="27" t="str">
        <f t="shared" si="397"/>
        <v/>
      </c>
      <c r="AJ112" s="21">
        <f>AJ111</f>
        <v>0</v>
      </c>
      <c r="AK112" s="21">
        <f>COUNTIFS('Data-TED-1'!$AH:$AH,AJ$1,'Data-TED-1'!$O:$O,"Satisfactory (80%)")</f>
        <v>0</v>
      </c>
      <c r="AL112" s="27" t="str">
        <f t="shared" si="398"/>
        <v/>
      </c>
      <c r="AM112" s="21">
        <f>AM111</f>
        <v>0</v>
      </c>
      <c r="AN112" s="21">
        <f>COUNTIFS('Data-TED-1'!$AH:$AH,AM$1,'Data-TED-1'!$O:$O,"Satisfactory (80%)")</f>
        <v>0</v>
      </c>
      <c r="AO112" s="27" t="str">
        <f t="shared" si="399"/>
        <v/>
      </c>
    </row>
    <row r="113" spans="1:41" x14ac:dyDescent="0.3">
      <c r="A113" s="25"/>
      <c r="B113" s="33" t="s">
        <v>121</v>
      </c>
      <c r="C113" s="21">
        <f t="shared" ref="C113:C115" si="400">C112</f>
        <v>1</v>
      </c>
      <c r="D113" s="21">
        <f t="shared" si="388"/>
        <v>0</v>
      </c>
      <c r="E113" s="27">
        <f t="shared" si="187"/>
        <v>0</v>
      </c>
      <c r="F113" s="21">
        <f t="shared" ref="F113:F115" si="401">F112</f>
        <v>0</v>
      </c>
      <c r="G113" s="21">
        <f>COUNTIFS('Data-TED-1'!$AH:$AH,F$1,'Data-TED-1'!$O:$O,"Average (60%)")</f>
        <v>0</v>
      </c>
      <c r="H113" s="27" t="str">
        <f t="shared" si="188"/>
        <v/>
      </c>
      <c r="I113" s="21">
        <f t="shared" ref="I113:I115" si="402">I112</f>
        <v>0</v>
      </c>
      <c r="J113" s="21">
        <f>COUNTIFS('Data-TED-1'!$AH:$AH,I$1,'Data-TED-1'!$O:$O,"Average (60%)")</f>
        <v>0</v>
      </c>
      <c r="K113" s="27" t="str">
        <f t="shared" si="389"/>
        <v/>
      </c>
      <c r="L113" s="21">
        <f t="shared" ref="L113:L115" si="403">L112</f>
        <v>0</v>
      </c>
      <c r="M113" s="21">
        <f>COUNTIFS('Data-TED-1'!$AH:$AH,L$1,'Data-TED-1'!$O:$O,"Average (60%)")</f>
        <v>0</v>
      </c>
      <c r="N113" s="27" t="str">
        <f t="shared" si="390"/>
        <v/>
      </c>
      <c r="O113" s="21">
        <f t="shared" ref="O113:O115" si="404">O112</f>
        <v>0</v>
      </c>
      <c r="P113" s="21">
        <f>COUNTIFS('Data-TED-1'!$AH:$AH,O$1,'Data-TED-1'!$O:$O,"Average (60%)")</f>
        <v>0</v>
      </c>
      <c r="Q113" s="27" t="str">
        <f t="shared" si="391"/>
        <v/>
      </c>
      <c r="R113" s="21">
        <f t="shared" ref="R113:R115" si="405">R112</f>
        <v>0</v>
      </c>
      <c r="S113" s="21">
        <f>COUNTIFS('Data-TED-1'!$AH:$AH,R$1,'Data-TED-1'!$O:$O,"Average (60%)")</f>
        <v>0</v>
      </c>
      <c r="T113" s="27" t="str">
        <f t="shared" si="392"/>
        <v/>
      </c>
      <c r="U113" s="21">
        <f t="shared" ref="U113:U115" si="406">U112</f>
        <v>0</v>
      </c>
      <c r="V113" s="21">
        <f>COUNTIFS('Data-TED-1'!$AH:$AH,U$1,'Data-TED-1'!$O:$O,"Average (60%)")</f>
        <v>0</v>
      </c>
      <c r="W113" s="27" t="str">
        <f t="shared" si="393"/>
        <v/>
      </c>
      <c r="X113" s="21">
        <f t="shared" ref="X113:X115" si="407">X112</f>
        <v>0</v>
      </c>
      <c r="Y113" s="21">
        <f>COUNTIFS('Data-TED-1'!$AH:$AH,X$1,'Data-TED-1'!$O:$O,"Average (60%)")</f>
        <v>0</v>
      </c>
      <c r="Z113" s="27" t="str">
        <f t="shared" si="394"/>
        <v/>
      </c>
      <c r="AA113" s="21">
        <f t="shared" ref="AA113:AA115" si="408">AA112</f>
        <v>0</v>
      </c>
      <c r="AB113" s="21">
        <f>COUNTIFS('Data-TED-1'!$AH:$AH,AA$1,'Data-TED-1'!$O:$O,"Average (60%)")</f>
        <v>0</v>
      </c>
      <c r="AC113" s="27" t="str">
        <f t="shared" si="395"/>
        <v/>
      </c>
      <c r="AD113" s="21">
        <f t="shared" ref="AD113:AD115" si="409">AD112</f>
        <v>1</v>
      </c>
      <c r="AE113" s="21">
        <f>COUNTIFS('Data-TED-1'!$AH:$AH,AD$1,'Data-TED-1'!$O:$O,"Average (60%)")</f>
        <v>0</v>
      </c>
      <c r="AF113" s="27">
        <f t="shared" si="396"/>
        <v>0</v>
      </c>
      <c r="AG113" s="21">
        <f t="shared" ref="AG113:AG115" si="410">AG112</f>
        <v>0</v>
      </c>
      <c r="AH113" s="21">
        <f>COUNTIFS('Data-TED-1'!$AH:$AH,AG$1,'Data-TED-1'!$O:$O,"Average (60%)")</f>
        <v>0</v>
      </c>
      <c r="AI113" s="27" t="str">
        <f t="shared" si="397"/>
        <v/>
      </c>
      <c r="AJ113" s="21">
        <f t="shared" ref="AJ113:AJ115" si="411">AJ112</f>
        <v>0</v>
      </c>
      <c r="AK113" s="21">
        <f>COUNTIFS('Data-TED-1'!$AH:$AH,AJ$1,'Data-TED-1'!$O:$O,"Average (60%)")</f>
        <v>0</v>
      </c>
      <c r="AL113" s="27" t="str">
        <f t="shared" si="398"/>
        <v/>
      </c>
      <c r="AM113" s="21">
        <f t="shared" ref="AM113:AM115" si="412">AM112</f>
        <v>0</v>
      </c>
      <c r="AN113" s="21">
        <f>COUNTIFS('Data-TED-1'!$AH:$AH,AM$1,'Data-TED-1'!$O:$O,"Average (60%)")</f>
        <v>0</v>
      </c>
      <c r="AO113" s="27" t="str">
        <f t="shared" si="399"/>
        <v/>
      </c>
    </row>
    <row r="114" spans="1:41" x14ac:dyDescent="0.3">
      <c r="A114" s="25"/>
      <c r="B114" s="33" t="s">
        <v>122</v>
      </c>
      <c r="C114" s="21">
        <f t="shared" si="400"/>
        <v>1</v>
      </c>
      <c r="D114" s="21">
        <f t="shared" si="388"/>
        <v>0</v>
      </c>
      <c r="E114" s="27">
        <f t="shared" si="187"/>
        <v>0</v>
      </c>
      <c r="F114" s="21">
        <f t="shared" si="401"/>
        <v>0</v>
      </c>
      <c r="G114" s="21">
        <f>COUNTIFS('Data-TED-1'!$AH:$AH,F$1,'Data-TED-1'!$O:$O,"Unsatisfactory (40%)")</f>
        <v>0</v>
      </c>
      <c r="H114" s="27" t="str">
        <f t="shared" si="188"/>
        <v/>
      </c>
      <c r="I114" s="21">
        <f t="shared" si="402"/>
        <v>0</v>
      </c>
      <c r="J114" s="21">
        <f>COUNTIFS('Data-TED-1'!$AH:$AH,I$1,'Data-TED-1'!$O:$O,"Unsatisfactory (40%)")</f>
        <v>0</v>
      </c>
      <c r="K114" s="27" t="str">
        <f t="shared" si="389"/>
        <v/>
      </c>
      <c r="L114" s="21">
        <f t="shared" si="403"/>
        <v>0</v>
      </c>
      <c r="M114" s="21">
        <f>COUNTIFS('Data-TED-1'!$AH:$AH,L$1,'Data-TED-1'!$O:$O,"Unsatisfactory (40%)")</f>
        <v>0</v>
      </c>
      <c r="N114" s="27" t="str">
        <f t="shared" si="390"/>
        <v/>
      </c>
      <c r="O114" s="21">
        <f t="shared" si="404"/>
        <v>0</v>
      </c>
      <c r="P114" s="21">
        <f>COUNTIFS('Data-TED-1'!$AH:$AH,O$1,'Data-TED-1'!$O:$O,"Unsatisfactory (40%)")</f>
        <v>0</v>
      </c>
      <c r="Q114" s="27" t="str">
        <f t="shared" si="391"/>
        <v/>
      </c>
      <c r="R114" s="21">
        <f t="shared" si="405"/>
        <v>0</v>
      </c>
      <c r="S114" s="21">
        <f>COUNTIFS('Data-TED-1'!$AH:$AH,R$1,'Data-TED-1'!$O:$O,"Unsatisfactory (40%)")</f>
        <v>0</v>
      </c>
      <c r="T114" s="27" t="str">
        <f t="shared" si="392"/>
        <v/>
      </c>
      <c r="U114" s="21">
        <f t="shared" si="406"/>
        <v>0</v>
      </c>
      <c r="V114" s="21">
        <f>COUNTIFS('Data-TED-1'!$AH:$AH,U$1,'Data-TED-1'!$O:$O,"Unsatisfactory (40%)")</f>
        <v>0</v>
      </c>
      <c r="W114" s="27" t="str">
        <f t="shared" si="393"/>
        <v/>
      </c>
      <c r="X114" s="21">
        <f t="shared" si="407"/>
        <v>0</v>
      </c>
      <c r="Y114" s="21">
        <f>COUNTIFS('Data-TED-1'!$AH:$AH,X$1,'Data-TED-1'!$O:$O,"Unsatisfactory (40%)")</f>
        <v>0</v>
      </c>
      <c r="Z114" s="27" t="str">
        <f t="shared" si="394"/>
        <v/>
      </c>
      <c r="AA114" s="21">
        <f t="shared" si="408"/>
        <v>0</v>
      </c>
      <c r="AB114" s="21">
        <f>COUNTIFS('Data-TED-1'!$AH:$AH,AA$1,'Data-TED-1'!$O:$O,"Unsatisfactory (40%)")</f>
        <v>0</v>
      </c>
      <c r="AC114" s="27" t="str">
        <f t="shared" si="395"/>
        <v/>
      </c>
      <c r="AD114" s="21">
        <f t="shared" si="409"/>
        <v>1</v>
      </c>
      <c r="AE114" s="21">
        <f>COUNTIFS('Data-TED-1'!$AH:$AH,AD$1,'Data-TED-1'!$O:$O,"Unsatisfactory (40%)")</f>
        <v>0</v>
      </c>
      <c r="AF114" s="27">
        <f t="shared" si="396"/>
        <v>0</v>
      </c>
      <c r="AG114" s="21">
        <f t="shared" si="410"/>
        <v>0</v>
      </c>
      <c r="AH114" s="21">
        <f>COUNTIFS('Data-TED-1'!$AH:$AH,AG$1,'Data-TED-1'!$O:$O,"Unsatisfactory (40%)")</f>
        <v>0</v>
      </c>
      <c r="AI114" s="27" t="str">
        <f t="shared" si="397"/>
        <v/>
      </c>
      <c r="AJ114" s="21">
        <f t="shared" si="411"/>
        <v>0</v>
      </c>
      <c r="AK114" s="21">
        <f>COUNTIFS('Data-TED-1'!$AH:$AH,AJ$1,'Data-TED-1'!$O:$O,"Unsatisfactory (40%)")</f>
        <v>0</v>
      </c>
      <c r="AL114" s="27" t="str">
        <f t="shared" si="398"/>
        <v/>
      </c>
      <c r="AM114" s="21">
        <f t="shared" si="412"/>
        <v>0</v>
      </c>
      <c r="AN114" s="21">
        <f>COUNTIFS('Data-TED-1'!$AH:$AH,AM$1,'Data-TED-1'!$O:$O,"Unsatisfactory (40%)")</f>
        <v>0</v>
      </c>
      <c r="AO114" s="27" t="str">
        <f t="shared" si="399"/>
        <v/>
      </c>
    </row>
    <row r="115" spans="1:41" x14ac:dyDescent="0.3">
      <c r="A115" s="25"/>
      <c r="B115" s="33" t="s">
        <v>123</v>
      </c>
      <c r="C115" s="21">
        <f t="shared" si="400"/>
        <v>1</v>
      </c>
      <c r="D115" s="21">
        <f t="shared" si="388"/>
        <v>0</v>
      </c>
      <c r="E115" s="27">
        <f t="shared" si="187"/>
        <v>0</v>
      </c>
      <c r="F115" s="21">
        <f t="shared" si="401"/>
        <v>0</v>
      </c>
      <c r="G115" s="21">
        <f>COUNTIFS('Data-TED-1'!$AH:$AH,F$1,'Data-TED-1'!$O:$O,"Very unsatisfactory (20%)")</f>
        <v>0</v>
      </c>
      <c r="H115" s="27" t="str">
        <f t="shared" si="188"/>
        <v/>
      </c>
      <c r="I115" s="21">
        <f t="shared" si="402"/>
        <v>0</v>
      </c>
      <c r="J115" s="21">
        <f>COUNTIFS('Data-TED-1'!$AH:$AH,I$1,'Data-TED-1'!$O:$O,"Very unsatisfactory (20%)")</f>
        <v>0</v>
      </c>
      <c r="K115" s="27" t="str">
        <f t="shared" si="389"/>
        <v/>
      </c>
      <c r="L115" s="21">
        <f t="shared" si="403"/>
        <v>0</v>
      </c>
      <c r="M115" s="21">
        <f>COUNTIFS('Data-TED-1'!$AH:$AH,L$1,'Data-TED-1'!$O:$O,"Very unsatisfactory (20%)")</f>
        <v>0</v>
      </c>
      <c r="N115" s="27" t="str">
        <f t="shared" si="390"/>
        <v/>
      </c>
      <c r="O115" s="21">
        <f t="shared" si="404"/>
        <v>0</v>
      </c>
      <c r="P115" s="21">
        <f>COUNTIFS('Data-TED-1'!$AH:$AH,O$1,'Data-TED-1'!$O:$O,"Very unsatisfactory (20%)")</f>
        <v>0</v>
      </c>
      <c r="Q115" s="27" t="str">
        <f t="shared" si="391"/>
        <v/>
      </c>
      <c r="R115" s="21">
        <f t="shared" si="405"/>
        <v>0</v>
      </c>
      <c r="S115" s="21">
        <f>COUNTIFS('Data-TED-1'!$AH:$AH,R$1,'Data-TED-1'!$O:$O,"Very unsatisfactory (20%)")</f>
        <v>0</v>
      </c>
      <c r="T115" s="27" t="str">
        <f t="shared" si="392"/>
        <v/>
      </c>
      <c r="U115" s="21">
        <f t="shared" si="406"/>
        <v>0</v>
      </c>
      <c r="V115" s="21">
        <f>COUNTIFS('Data-TED-1'!$AH:$AH,U$1,'Data-TED-1'!$O:$O,"Very unsatisfactory (20%)")</f>
        <v>0</v>
      </c>
      <c r="W115" s="27" t="str">
        <f t="shared" si="393"/>
        <v/>
      </c>
      <c r="X115" s="21">
        <f t="shared" si="407"/>
        <v>0</v>
      </c>
      <c r="Y115" s="21">
        <f>COUNTIFS('Data-TED-1'!$AH:$AH,X$1,'Data-TED-1'!$O:$O,"Very unsatisfactory (20%)")</f>
        <v>0</v>
      </c>
      <c r="Z115" s="27" t="str">
        <f t="shared" si="394"/>
        <v/>
      </c>
      <c r="AA115" s="21">
        <f t="shared" si="408"/>
        <v>0</v>
      </c>
      <c r="AB115" s="21">
        <f>COUNTIFS('Data-TED-1'!$AH:$AH,AA$1,'Data-TED-1'!$O:$O,"Very unsatisfactory (20%)")</f>
        <v>0</v>
      </c>
      <c r="AC115" s="27" t="str">
        <f t="shared" si="395"/>
        <v/>
      </c>
      <c r="AD115" s="21">
        <f t="shared" si="409"/>
        <v>1</v>
      </c>
      <c r="AE115" s="21">
        <f>COUNTIFS('Data-TED-1'!$AH:$AH,AD$1,'Data-TED-1'!$O:$O,"Very unsatisfactory (20%)")</f>
        <v>0</v>
      </c>
      <c r="AF115" s="27">
        <f t="shared" si="396"/>
        <v>0</v>
      </c>
      <c r="AG115" s="21">
        <f t="shared" si="410"/>
        <v>0</v>
      </c>
      <c r="AH115" s="21">
        <f>COUNTIFS('Data-TED-1'!$AH:$AH,AG$1,'Data-TED-1'!$O:$O,"Very unsatisfactory (20%)")</f>
        <v>0</v>
      </c>
      <c r="AI115" s="27" t="str">
        <f t="shared" si="397"/>
        <v/>
      </c>
      <c r="AJ115" s="21">
        <f t="shared" si="411"/>
        <v>0</v>
      </c>
      <c r="AK115" s="21">
        <f>COUNTIFS('Data-TED-1'!$AH:$AH,AJ$1,'Data-TED-1'!$O:$O,"Very unsatisfactory (20%)")</f>
        <v>0</v>
      </c>
      <c r="AL115" s="27" t="str">
        <f t="shared" si="398"/>
        <v/>
      </c>
      <c r="AM115" s="21">
        <f t="shared" si="412"/>
        <v>0</v>
      </c>
      <c r="AN115" s="21">
        <f>COUNTIFS('Data-TED-1'!$AH:$AH,AM$1,'Data-TED-1'!$O:$O,"Very unsatisfactory (20%)")</f>
        <v>0</v>
      </c>
      <c r="AO115" s="27" t="str">
        <f t="shared" si="399"/>
        <v/>
      </c>
    </row>
    <row r="116" spans="1:41" ht="27.6" x14ac:dyDescent="0.3">
      <c r="A116" s="21">
        <v>20</v>
      </c>
      <c r="B116" s="51" t="s">
        <v>88</v>
      </c>
      <c r="C116" s="21"/>
      <c r="D116" s="21"/>
      <c r="E116" s="27"/>
      <c r="F116" s="21"/>
      <c r="G116" s="21"/>
      <c r="H116" s="27"/>
      <c r="I116" s="21"/>
      <c r="J116" s="21"/>
      <c r="K116" s="27"/>
      <c r="L116" s="21"/>
      <c r="M116" s="21"/>
      <c r="N116" s="27"/>
      <c r="O116" s="21"/>
      <c r="P116" s="21"/>
      <c r="Q116" s="27"/>
      <c r="R116" s="21"/>
      <c r="S116" s="21"/>
      <c r="T116" s="27"/>
      <c r="U116" s="21"/>
      <c r="V116" s="21"/>
      <c r="W116" s="27"/>
      <c r="X116" s="21"/>
      <c r="Y116" s="21"/>
      <c r="Z116" s="27"/>
      <c r="AA116" s="21"/>
      <c r="AB116" s="21"/>
      <c r="AC116" s="27"/>
      <c r="AD116" s="21"/>
      <c r="AE116" s="21"/>
      <c r="AF116" s="27"/>
      <c r="AG116" s="21"/>
      <c r="AH116" s="21"/>
      <c r="AI116" s="27"/>
      <c r="AJ116" s="21"/>
      <c r="AK116" s="21"/>
      <c r="AL116" s="27"/>
      <c r="AM116" s="21"/>
      <c r="AN116" s="21"/>
      <c r="AO116" s="27"/>
    </row>
    <row r="117" spans="1:41" x14ac:dyDescent="0.3">
      <c r="A117" s="25"/>
      <c r="B117" s="5" t="s">
        <v>51</v>
      </c>
      <c r="C117" s="21">
        <f>SUM(C120,C123,C126,C129,C132,C135,C138,C141)</f>
        <v>8</v>
      </c>
      <c r="D117" s="21">
        <f>G117+J117+M117+P117+S117+V117+Y117+AB117+AE117+AH117+AK117+AN117</f>
        <v>0</v>
      </c>
      <c r="E117" s="27">
        <f t="shared" si="187"/>
        <v>0</v>
      </c>
      <c r="F117" s="21">
        <f>SUM(F120,F123,F126,F129,F132,F135,F138,F141)</f>
        <v>0</v>
      </c>
      <c r="G117" s="21">
        <f>SUM(G120,G123,G126,G129,G132,G135,G138,G141)</f>
        <v>0</v>
      </c>
      <c r="H117" s="27" t="str">
        <f t="shared" si="188"/>
        <v/>
      </c>
      <c r="I117" s="21">
        <f>SUM(I120,I123,I126,I129,I132,I135,I138,I141)</f>
        <v>0</v>
      </c>
      <c r="J117" s="21">
        <f>SUM(J120,J123,J126,J129,J132,J135,J138,J141)</f>
        <v>0</v>
      </c>
      <c r="K117" s="27" t="str">
        <f t="shared" ref="K117:K118" si="413">IF(I117 &lt;&gt; 0,J117/I117,"")</f>
        <v/>
      </c>
      <c r="L117" s="21">
        <f>SUM(L120,L123,L126,L129,L132,L135,L138,L141)</f>
        <v>0</v>
      </c>
      <c r="M117" s="21">
        <f>SUM(M120,M123,M126,M129,M132,M135,M138,M141)</f>
        <v>0</v>
      </c>
      <c r="N117" s="27" t="str">
        <f t="shared" ref="N117:N118" si="414">IF(L117 &lt;&gt; 0,M117/L117,"")</f>
        <v/>
      </c>
      <c r="O117" s="21">
        <f>SUM(O120,O123,O126,O129,O132,O135,O138,O141)</f>
        <v>0</v>
      </c>
      <c r="P117" s="21">
        <f>SUM(P120,P123,P126,P129,P132,P135,P138,P141)</f>
        <v>0</v>
      </c>
      <c r="Q117" s="27" t="str">
        <f t="shared" ref="Q117:Q118" si="415">IF(O117 &lt;&gt; 0,P117/O117,"")</f>
        <v/>
      </c>
      <c r="R117" s="21">
        <f>SUM(R120,R123,R126,R129,R132,R135,R138,R141)</f>
        <v>0</v>
      </c>
      <c r="S117" s="21">
        <f>SUM(S120,S123,S126,S129,S132,S135,S138,S141)</f>
        <v>0</v>
      </c>
      <c r="T117" s="27" t="str">
        <f t="shared" ref="T117:T118" si="416">IF(R117 &lt;&gt; 0,S117/R117,"")</f>
        <v/>
      </c>
      <c r="U117" s="21">
        <f>SUM(U120,U123,U126,U129,U132,U135,U138,U141)</f>
        <v>0</v>
      </c>
      <c r="V117" s="21">
        <f>SUM(V120,V123,V126,V129,V132,V135,V138,V141)</f>
        <v>0</v>
      </c>
      <c r="W117" s="27" t="str">
        <f t="shared" ref="W117:W118" si="417">IF(U117 &lt;&gt; 0,V117/U117,"")</f>
        <v/>
      </c>
      <c r="X117" s="21">
        <f>SUM(X120,X123,X126,X129,X132,X135,X138,X141)</f>
        <v>0</v>
      </c>
      <c r="Y117" s="21">
        <f>SUM(Y120,Y123,Y126,Y129,Y132,Y135,Y138,Y141)</f>
        <v>0</v>
      </c>
      <c r="Z117" s="27" t="str">
        <f t="shared" ref="Z117:Z118" si="418">IF(X117 &lt;&gt; 0,Y117/X117,"")</f>
        <v/>
      </c>
      <c r="AA117" s="21">
        <f>SUM(AA120,AA123,AA126,AA129,AA132,AA135,AA138,AA141)</f>
        <v>0</v>
      </c>
      <c r="AB117" s="21">
        <f>SUM(AB120,AB123,AB126,AB129,AB132,AB135,AB138,AB141)</f>
        <v>0</v>
      </c>
      <c r="AC117" s="27" t="str">
        <f t="shared" ref="AC117:AC118" si="419">IF(AA117 &lt;&gt; 0,AB117/AA117,"")</f>
        <v/>
      </c>
      <c r="AD117" s="21">
        <f>SUM(AD120,AD123,AD126,AD129,AD132,AD135,AD138,AD141)</f>
        <v>8</v>
      </c>
      <c r="AE117" s="21">
        <f>SUM(AE120,AE123,AE126,AE129,AE132,AE135,AE138,AE141)</f>
        <v>0</v>
      </c>
      <c r="AF117" s="27">
        <f t="shared" ref="AF117:AF118" si="420">IF(AD117 &lt;&gt; 0,AE117/AD117,"")</f>
        <v>0</v>
      </c>
      <c r="AG117" s="21">
        <f>SUM(AG120,AG123,AG126,AG129,AG132,AG135,AG138,AG141)</f>
        <v>0</v>
      </c>
      <c r="AH117" s="21">
        <f>SUM(AH120,AH123,AH126,AH129,AH132,AH135,AH138,AH141)</f>
        <v>0</v>
      </c>
      <c r="AI117" s="27" t="str">
        <f t="shared" ref="AI117:AI118" si="421">IF(AG117 &lt;&gt; 0,AH117/AG117,"")</f>
        <v/>
      </c>
      <c r="AJ117" s="21">
        <f>SUM(AJ120,AJ123,AJ126,AJ129,AJ132,AJ135,AJ138,AJ141)</f>
        <v>0</v>
      </c>
      <c r="AK117" s="21">
        <f>SUM(AK120,AK123,AK126,AK129,AK132,AK135,AK138,AK141)</f>
        <v>0</v>
      </c>
      <c r="AL117" s="27" t="str">
        <f t="shared" ref="AL117:AL118" si="422">IF(AJ117 &lt;&gt; 0,AK117/AJ117,"")</f>
        <v/>
      </c>
      <c r="AM117" s="21">
        <f>SUM(AM120,AM123,AM126,AM129,AM132,AM135,AM138,AM141)</f>
        <v>0</v>
      </c>
      <c r="AN117" s="21">
        <f>SUM(AN120,AN123,AN126,AN129,AN132,AN135,AN138,AN141)</f>
        <v>0</v>
      </c>
      <c r="AO117" s="27" t="str">
        <f t="shared" ref="AO117:AO118" si="423">IF(AM117 &lt;&gt; 0,AN117/AM117,"")</f>
        <v/>
      </c>
    </row>
    <row r="118" spans="1:41" x14ac:dyDescent="0.3">
      <c r="A118" s="25"/>
      <c r="B118" s="5" t="s">
        <v>21</v>
      </c>
      <c r="C118" s="21">
        <f>C117</f>
        <v>8</v>
      </c>
      <c r="D118" s="21">
        <f>G118+J118+M118+P118+S118+V118+Y118+AB118+AE118+AH118+AK118+AN118</f>
        <v>8</v>
      </c>
      <c r="E118" s="27">
        <f t="shared" si="187"/>
        <v>1</v>
      </c>
      <c r="F118" s="21">
        <f>F117</f>
        <v>0</v>
      </c>
      <c r="G118" s="21">
        <f>SUM(G121,G124,G127,G130,G133,G136,G139,G142)</f>
        <v>0</v>
      </c>
      <c r="H118" s="27" t="str">
        <f t="shared" si="188"/>
        <v/>
      </c>
      <c r="I118" s="21">
        <f>I117</f>
        <v>0</v>
      </c>
      <c r="J118" s="21">
        <f>SUM(J121,J124,J127,J130,J133,J136,J139,J142)</f>
        <v>0</v>
      </c>
      <c r="K118" s="27" t="str">
        <f t="shared" si="413"/>
        <v/>
      </c>
      <c r="L118" s="21">
        <f>L117</f>
        <v>0</v>
      </c>
      <c r="M118" s="21">
        <f>SUM(M121,M124,M127,M130,M133,M136,M139,M142)</f>
        <v>0</v>
      </c>
      <c r="N118" s="27" t="str">
        <f t="shared" si="414"/>
        <v/>
      </c>
      <c r="O118" s="21">
        <f>O117</f>
        <v>0</v>
      </c>
      <c r="P118" s="21">
        <f>SUM(P121,P124,P127,P130,P133,P136,P139,P142)</f>
        <v>0</v>
      </c>
      <c r="Q118" s="27" t="str">
        <f t="shared" si="415"/>
        <v/>
      </c>
      <c r="R118" s="21">
        <f>R117</f>
        <v>0</v>
      </c>
      <c r="S118" s="21">
        <f>SUM(S121,S124,S127,S130,S133,S136,S139,S142)</f>
        <v>0</v>
      </c>
      <c r="T118" s="27" t="str">
        <f t="shared" si="416"/>
        <v/>
      </c>
      <c r="U118" s="21">
        <f>U117</f>
        <v>0</v>
      </c>
      <c r="V118" s="21">
        <f>SUM(V121,V124,V127,V130,V133,V136,V139,V142)</f>
        <v>0</v>
      </c>
      <c r="W118" s="27" t="str">
        <f t="shared" si="417"/>
        <v/>
      </c>
      <c r="X118" s="21">
        <f>X117</f>
        <v>0</v>
      </c>
      <c r="Y118" s="21">
        <f>SUM(Y121,Y124,Y127,Y130,Y133,Y136,Y139,Y142)</f>
        <v>0</v>
      </c>
      <c r="Z118" s="27" t="str">
        <f t="shared" si="418"/>
        <v/>
      </c>
      <c r="AA118" s="21">
        <f>AA117</f>
        <v>0</v>
      </c>
      <c r="AB118" s="21">
        <f>SUM(AB121,AB124,AB127,AB130,AB133,AB136,AB139,AB142)</f>
        <v>0</v>
      </c>
      <c r="AC118" s="27" t="str">
        <f t="shared" si="419"/>
        <v/>
      </c>
      <c r="AD118" s="21">
        <f>AD117</f>
        <v>8</v>
      </c>
      <c r="AE118" s="21">
        <f>SUM(AE121,AE124,AE127,AE130,AE133,AE136,AE139,AE142)</f>
        <v>8</v>
      </c>
      <c r="AF118" s="27">
        <f t="shared" si="420"/>
        <v>1</v>
      </c>
      <c r="AG118" s="21">
        <f>AG117</f>
        <v>0</v>
      </c>
      <c r="AH118" s="21">
        <f>SUM(AH121,AH124,AH127,AH130,AH133,AH136,AH139,AH142)</f>
        <v>0</v>
      </c>
      <c r="AI118" s="27" t="str">
        <f t="shared" si="421"/>
        <v/>
      </c>
      <c r="AJ118" s="21">
        <f>AJ117</f>
        <v>0</v>
      </c>
      <c r="AK118" s="21">
        <f>SUM(AK121,AK124,AK127,AK130,AK133,AK136,AK139,AK142)</f>
        <v>0</v>
      </c>
      <c r="AL118" s="27" t="str">
        <f t="shared" si="422"/>
        <v/>
      </c>
      <c r="AM118" s="21">
        <f>AM117</f>
        <v>0</v>
      </c>
      <c r="AN118" s="21">
        <f>SUM(AN121,AN124,AN127,AN130,AN133,AN136,AN139,AN142)</f>
        <v>0</v>
      </c>
      <c r="AO118" s="27" t="str">
        <f t="shared" si="423"/>
        <v/>
      </c>
    </row>
    <row r="119" spans="1:41" x14ac:dyDescent="0.3">
      <c r="A119" s="21" t="s">
        <v>49</v>
      </c>
      <c r="B119" s="22" t="s">
        <v>50</v>
      </c>
      <c r="C119" s="21"/>
      <c r="D119" s="21"/>
      <c r="E119" s="27"/>
      <c r="F119" s="21"/>
      <c r="G119" s="21"/>
      <c r="H119" s="27"/>
      <c r="I119" s="21"/>
      <c r="J119" s="21"/>
      <c r="K119" s="27"/>
      <c r="L119" s="21"/>
      <c r="M119" s="21"/>
      <c r="N119" s="27"/>
      <c r="O119" s="21"/>
      <c r="P119" s="21"/>
      <c r="Q119" s="27"/>
      <c r="R119" s="21"/>
      <c r="S119" s="21"/>
      <c r="T119" s="27"/>
      <c r="U119" s="21"/>
      <c r="V119" s="21"/>
      <c r="W119" s="27"/>
      <c r="X119" s="21"/>
      <c r="Y119" s="21"/>
      <c r="Z119" s="27"/>
      <c r="AA119" s="21"/>
      <c r="AB119" s="21"/>
      <c r="AC119" s="27"/>
      <c r="AD119" s="21"/>
      <c r="AE119" s="21"/>
      <c r="AF119" s="27"/>
      <c r="AG119" s="21"/>
      <c r="AH119" s="21"/>
      <c r="AI119" s="27"/>
      <c r="AJ119" s="21"/>
      <c r="AK119" s="21"/>
      <c r="AL119" s="27"/>
      <c r="AM119" s="21"/>
      <c r="AN119" s="21"/>
      <c r="AO119" s="27"/>
    </row>
    <row r="120" spans="1:41" x14ac:dyDescent="0.3">
      <c r="A120" s="25"/>
      <c r="B120" s="5" t="s">
        <v>51</v>
      </c>
      <c r="C120" s="21">
        <f>COUNTIF('Data-TED-1'!$P:$P,"&lt;&gt;" &amp; "")-1</f>
        <v>1</v>
      </c>
      <c r="D120" s="21">
        <f>G120+J120+M120+P120+S120+V120+Y120+AB120+AE120+AH120+AK120+AN120</f>
        <v>0</v>
      </c>
      <c r="E120" s="27">
        <f t="shared" si="187"/>
        <v>0</v>
      </c>
      <c r="F120" s="21">
        <f>COUNTIFS('Data-TED-1'!$AH:$AH,F$1,'Data-TED-1'!$P:$P,"&lt;&gt;" &amp; "")</f>
        <v>0</v>
      </c>
      <c r="G120" s="21">
        <f>COUNTIFS('Data-TED-1'!$AH:$AH,F$1,'Data-TED-1'!$P:$P,$B120)</f>
        <v>0</v>
      </c>
      <c r="H120" s="27" t="str">
        <f t="shared" si="188"/>
        <v/>
      </c>
      <c r="I120" s="21">
        <f>COUNTIFS('Data-TED-1'!$AH:$AH,I$1,'Data-TED-1'!$P:$P,"&lt;&gt;" &amp; "")</f>
        <v>0</v>
      </c>
      <c r="J120" s="21">
        <f>COUNTIFS('Data-TED-1'!$AH:$AH,I$1,'Data-TED-1'!$P:$P,$B120)</f>
        <v>0</v>
      </c>
      <c r="K120" s="27" t="str">
        <f t="shared" ref="K120:K121" si="424">IF(I120 &lt;&gt; 0,J120/I120,"")</f>
        <v/>
      </c>
      <c r="L120" s="21">
        <f>COUNTIFS('Data-TED-1'!$AH:$AH,L$1,'Data-TED-1'!$P:$P,"&lt;&gt;" &amp; "")</f>
        <v>0</v>
      </c>
      <c r="M120" s="21">
        <f>COUNTIFS('Data-TED-1'!$AH:$AH,L$1,'Data-TED-1'!$P:$P,$B120)</f>
        <v>0</v>
      </c>
      <c r="N120" s="27" t="str">
        <f t="shared" ref="N120:N121" si="425">IF(L120 &lt;&gt; 0,M120/L120,"")</f>
        <v/>
      </c>
      <c r="O120" s="21">
        <f>COUNTIFS('Data-TED-1'!$AH:$AH,O$1,'Data-TED-1'!$P:$P,"&lt;&gt;" &amp; "")</f>
        <v>0</v>
      </c>
      <c r="P120" s="21">
        <f>COUNTIFS('Data-TED-1'!$AH:$AH,O$1,'Data-TED-1'!$P:$P,$B120)</f>
        <v>0</v>
      </c>
      <c r="Q120" s="27" t="str">
        <f t="shared" ref="Q120:Q121" si="426">IF(O120 &lt;&gt; 0,P120/O120,"")</f>
        <v/>
      </c>
      <c r="R120" s="21">
        <f>COUNTIFS('Data-TED-1'!$AH:$AH,R$1,'Data-TED-1'!$P:$P,"&lt;&gt;" &amp; "")</f>
        <v>0</v>
      </c>
      <c r="S120" s="21">
        <f>COUNTIFS('Data-TED-1'!$AH:$AH,R$1,'Data-TED-1'!$P:$P,$B120)</f>
        <v>0</v>
      </c>
      <c r="T120" s="27" t="str">
        <f t="shared" ref="T120:T121" si="427">IF(R120 &lt;&gt; 0,S120/R120,"")</f>
        <v/>
      </c>
      <c r="U120" s="21">
        <f>COUNTIFS('Data-TED-1'!$AH:$AH,U$1,'Data-TED-1'!$P:$P,"&lt;&gt;" &amp; "")</f>
        <v>0</v>
      </c>
      <c r="V120" s="21">
        <f>COUNTIFS('Data-TED-1'!$AH:$AH,U$1,'Data-TED-1'!$P:$P,$B120)</f>
        <v>0</v>
      </c>
      <c r="W120" s="27" t="str">
        <f t="shared" ref="W120:W121" si="428">IF(U120 &lt;&gt; 0,V120/U120,"")</f>
        <v/>
      </c>
      <c r="X120" s="21">
        <f>COUNTIFS('Data-TED-1'!$AH:$AH,X$1,'Data-TED-1'!$P:$P,"&lt;&gt;" &amp; "")</f>
        <v>0</v>
      </c>
      <c r="Y120" s="21">
        <f>COUNTIFS('Data-TED-1'!$AH:$AH,X$1,'Data-TED-1'!$P:$P,$B120)</f>
        <v>0</v>
      </c>
      <c r="Z120" s="27" t="str">
        <f t="shared" ref="Z120:Z121" si="429">IF(X120 &lt;&gt; 0,Y120/X120,"")</f>
        <v/>
      </c>
      <c r="AA120" s="21">
        <f>COUNTIFS('Data-TED-1'!$AH:$AH,AA$1,'Data-TED-1'!$P:$P,"&lt;&gt;" &amp; "")</f>
        <v>0</v>
      </c>
      <c r="AB120" s="21">
        <f>COUNTIFS('Data-TED-1'!$AH:$AH,AA$1,'Data-TED-1'!$P:$P,$B120)</f>
        <v>0</v>
      </c>
      <c r="AC120" s="27" t="str">
        <f t="shared" ref="AC120:AC121" si="430">IF(AA120 &lt;&gt; 0,AB120/AA120,"")</f>
        <v/>
      </c>
      <c r="AD120" s="21">
        <f>COUNTIFS('Data-TED-1'!$AH:$AH,AD$1,'Data-TED-1'!$P:$P,"&lt;&gt;" &amp; "")</f>
        <v>1</v>
      </c>
      <c r="AE120" s="21">
        <f>COUNTIFS('Data-TED-1'!$AH:$AH,AD$1,'Data-TED-1'!$P:$P,$B120)</f>
        <v>0</v>
      </c>
      <c r="AF120" s="27">
        <f t="shared" ref="AF120:AF121" si="431">IF(AD120 &lt;&gt; 0,AE120/AD120,"")</f>
        <v>0</v>
      </c>
      <c r="AG120" s="21">
        <f>COUNTIFS('Data-TED-1'!$AH:$AH,AG$1,'Data-TED-1'!$P:$P,"&lt;&gt;" &amp; "")</f>
        <v>0</v>
      </c>
      <c r="AH120" s="21">
        <f>COUNTIFS('Data-TED-1'!$AH:$AH,AG$1,'Data-TED-1'!$P:$P,$B120)</f>
        <v>0</v>
      </c>
      <c r="AI120" s="27" t="str">
        <f t="shared" ref="AI120:AI121" si="432">IF(AG120 &lt;&gt; 0,AH120/AG120,"")</f>
        <v/>
      </c>
      <c r="AJ120" s="21">
        <f>COUNTIFS('Data-TED-1'!$AH:$AH,AJ$1,'Data-TED-1'!$P:$P,"&lt;&gt;" &amp; "")</f>
        <v>0</v>
      </c>
      <c r="AK120" s="21">
        <f>COUNTIFS('Data-TED-1'!$AH:$AH,AJ$1,'Data-TED-1'!$P:$P,$B120)</f>
        <v>0</v>
      </c>
      <c r="AL120" s="27" t="str">
        <f t="shared" ref="AL120:AL121" si="433">IF(AJ120 &lt;&gt; 0,AK120/AJ120,"")</f>
        <v/>
      </c>
      <c r="AM120" s="21">
        <f>COUNTIFS('Data-TED-1'!$AH:$AH,AM$1,'Data-TED-1'!$P:$P,"&lt;&gt;" &amp; "")</f>
        <v>0</v>
      </c>
      <c r="AN120" s="21">
        <f>COUNTIFS('Data-TED-1'!$AH:$AH,AM$1,'Data-TED-1'!$P:$P,$B120)</f>
        <v>0</v>
      </c>
      <c r="AO120" s="27" t="str">
        <f t="shared" ref="AO120:AO121" si="434">IF(AM120 &lt;&gt; 0,AN120/AM120,"")</f>
        <v/>
      </c>
    </row>
    <row r="121" spans="1:41" x14ac:dyDescent="0.3">
      <c r="A121" s="25"/>
      <c r="B121" s="5" t="s">
        <v>21</v>
      </c>
      <c r="C121" s="21">
        <f>C120</f>
        <v>1</v>
      </c>
      <c r="D121" s="21">
        <f>G121+J121+M121+P121+S121+V121+Y121+AB121+AE121+AH121+AK121+AN121</f>
        <v>1</v>
      </c>
      <c r="E121" s="27">
        <f t="shared" si="187"/>
        <v>1</v>
      </c>
      <c r="F121" s="21">
        <f>F120</f>
        <v>0</v>
      </c>
      <c r="G121" s="21">
        <f>COUNTIFS('Data-TED-1'!$AH:$AH,F$1,'Data-TED-1'!$P:$P,$B121)</f>
        <v>0</v>
      </c>
      <c r="H121" s="27" t="str">
        <f t="shared" si="188"/>
        <v/>
      </c>
      <c r="I121" s="21">
        <f>I120</f>
        <v>0</v>
      </c>
      <c r="J121" s="21">
        <f>COUNTIFS('Data-TED-1'!$AH:$AH,I$1,'Data-TED-1'!$P:$P,$B121)</f>
        <v>0</v>
      </c>
      <c r="K121" s="27" t="str">
        <f t="shared" si="424"/>
        <v/>
      </c>
      <c r="L121" s="21">
        <f>L120</f>
        <v>0</v>
      </c>
      <c r="M121" s="21">
        <f>COUNTIFS('Data-TED-1'!$AH:$AH,L$1,'Data-TED-1'!$P:$P,$B121)</f>
        <v>0</v>
      </c>
      <c r="N121" s="27" t="str">
        <f t="shared" si="425"/>
        <v/>
      </c>
      <c r="O121" s="21">
        <f>O120</f>
        <v>0</v>
      </c>
      <c r="P121" s="21">
        <f>COUNTIFS('Data-TED-1'!$AH:$AH,O$1,'Data-TED-1'!$P:$P,$B121)</f>
        <v>0</v>
      </c>
      <c r="Q121" s="27" t="str">
        <f t="shared" si="426"/>
        <v/>
      </c>
      <c r="R121" s="21">
        <f>R120</f>
        <v>0</v>
      </c>
      <c r="S121" s="21">
        <f>COUNTIFS('Data-TED-1'!$AH:$AH,R$1,'Data-TED-1'!$P:$P,$B121)</f>
        <v>0</v>
      </c>
      <c r="T121" s="27" t="str">
        <f t="shared" si="427"/>
        <v/>
      </c>
      <c r="U121" s="21">
        <f>U120</f>
        <v>0</v>
      </c>
      <c r="V121" s="21">
        <f>COUNTIFS('Data-TED-1'!$AH:$AH,U$1,'Data-TED-1'!$P:$P,$B121)</f>
        <v>0</v>
      </c>
      <c r="W121" s="27" t="str">
        <f t="shared" si="428"/>
        <v/>
      </c>
      <c r="X121" s="21">
        <f>X120</f>
        <v>0</v>
      </c>
      <c r="Y121" s="21">
        <f>COUNTIFS('Data-TED-1'!$AH:$AH,X$1,'Data-TED-1'!$P:$P,$B121)</f>
        <v>0</v>
      </c>
      <c r="Z121" s="27" t="str">
        <f t="shared" si="429"/>
        <v/>
      </c>
      <c r="AA121" s="21">
        <f>AA120</f>
        <v>0</v>
      </c>
      <c r="AB121" s="21">
        <f>COUNTIFS('Data-TED-1'!$AH:$AH,AA$1,'Data-TED-1'!$P:$P,$B121)</f>
        <v>0</v>
      </c>
      <c r="AC121" s="27" t="str">
        <f t="shared" si="430"/>
        <v/>
      </c>
      <c r="AD121" s="21">
        <f>AD120</f>
        <v>1</v>
      </c>
      <c r="AE121" s="21">
        <f>COUNTIFS('Data-TED-1'!$AH:$AH,AD$1,'Data-TED-1'!$P:$P,$B121)</f>
        <v>1</v>
      </c>
      <c r="AF121" s="27">
        <f t="shared" si="431"/>
        <v>1</v>
      </c>
      <c r="AG121" s="21">
        <f>AG120</f>
        <v>0</v>
      </c>
      <c r="AH121" s="21">
        <f>COUNTIFS('Data-TED-1'!$AH:$AH,AG$1,'Data-TED-1'!$P:$P,$B121)</f>
        <v>0</v>
      </c>
      <c r="AI121" s="27" t="str">
        <f t="shared" si="432"/>
        <v/>
      </c>
      <c r="AJ121" s="21">
        <f>AJ120</f>
        <v>0</v>
      </c>
      <c r="AK121" s="21">
        <f>COUNTIFS('Data-TED-1'!$AH:$AH,AJ$1,'Data-TED-1'!$P:$P,$B121)</f>
        <v>0</v>
      </c>
      <c r="AL121" s="27" t="str">
        <f t="shared" si="433"/>
        <v/>
      </c>
      <c r="AM121" s="21">
        <f>AM120</f>
        <v>0</v>
      </c>
      <c r="AN121" s="21">
        <f>COUNTIFS('Data-TED-1'!$AH:$AH,AM$1,'Data-TED-1'!$P:$P,$B121)</f>
        <v>0</v>
      </c>
      <c r="AO121" s="27" t="str">
        <f t="shared" si="434"/>
        <v/>
      </c>
    </row>
    <row r="122" spans="1:41" x14ac:dyDescent="0.3">
      <c r="A122" s="21" t="s">
        <v>52</v>
      </c>
      <c r="B122" s="22" t="s">
        <v>39</v>
      </c>
      <c r="C122" s="21"/>
      <c r="D122" s="21"/>
      <c r="E122" s="27"/>
      <c r="F122" s="21"/>
      <c r="G122" s="21"/>
      <c r="H122" s="27"/>
      <c r="I122" s="21"/>
      <c r="J122" s="21"/>
      <c r="K122" s="27"/>
      <c r="L122" s="21"/>
      <c r="M122" s="21"/>
      <c r="N122" s="27"/>
      <c r="O122" s="21"/>
      <c r="P122" s="21"/>
      <c r="Q122" s="27"/>
      <c r="R122" s="21"/>
      <c r="S122" s="21"/>
      <c r="T122" s="27"/>
      <c r="U122" s="21"/>
      <c r="V122" s="21"/>
      <c r="W122" s="27"/>
      <c r="X122" s="21"/>
      <c r="Y122" s="21"/>
      <c r="Z122" s="27"/>
      <c r="AA122" s="21"/>
      <c r="AB122" s="21"/>
      <c r="AC122" s="27"/>
      <c r="AD122" s="21"/>
      <c r="AE122" s="21"/>
      <c r="AF122" s="27"/>
      <c r="AG122" s="21"/>
      <c r="AH122" s="21"/>
      <c r="AI122" s="27"/>
      <c r="AJ122" s="21"/>
      <c r="AK122" s="21"/>
      <c r="AL122" s="27"/>
      <c r="AM122" s="21"/>
      <c r="AN122" s="21"/>
      <c r="AO122" s="27"/>
    </row>
    <row r="123" spans="1:41" x14ac:dyDescent="0.3">
      <c r="A123" s="25"/>
      <c r="B123" s="5" t="s">
        <v>51</v>
      </c>
      <c r="C123" s="21">
        <f>COUNTIF('Data-TED-1'!$Q:$Q,"&lt;&gt;" &amp; "")-1</f>
        <v>1</v>
      </c>
      <c r="D123" s="21">
        <f>G123+J123+M123+P123+S123+V123+Y123+AB123+AE123+AH123+AK123+AN123</f>
        <v>0</v>
      </c>
      <c r="E123" s="27">
        <f t="shared" si="187"/>
        <v>0</v>
      </c>
      <c r="F123" s="21">
        <f>COUNTIFS('Data-TED-1'!$AH:$AH,F$1,'Data-TED-1'!$Q:$Q,"&lt;&gt;" &amp; "")</f>
        <v>0</v>
      </c>
      <c r="G123" s="21">
        <f>COUNTIFS('Data-TED-1'!$AH:$AH,F$1,'Data-TED-1'!$Q:$Q,$B123)</f>
        <v>0</v>
      </c>
      <c r="H123" s="27" t="str">
        <f t="shared" si="188"/>
        <v/>
      </c>
      <c r="I123" s="21">
        <f>COUNTIFS('Data-TED-1'!$AH:$AH,I$1,'Data-TED-1'!$Q:$Q,"&lt;&gt;" &amp; "")</f>
        <v>0</v>
      </c>
      <c r="J123" s="21">
        <f>COUNTIFS('Data-TED-1'!$AH:$AH,I$1,'Data-TED-1'!$Q:$Q,$B123)</f>
        <v>0</v>
      </c>
      <c r="K123" s="27" t="str">
        <f t="shared" ref="K123:K124" si="435">IF(I123 &lt;&gt; 0,J123/I123,"")</f>
        <v/>
      </c>
      <c r="L123" s="21">
        <f>COUNTIFS('Data-TED-1'!$AH:$AH,L$1,'Data-TED-1'!$Q:$Q,"&lt;&gt;" &amp; "")</f>
        <v>0</v>
      </c>
      <c r="M123" s="21">
        <f>COUNTIFS('Data-TED-1'!$AH:$AH,L$1,'Data-TED-1'!$Q:$Q,$B123)</f>
        <v>0</v>
      </c>
      <c r="N123" s="27" t="str">
        <f t="shared" ref="N123:N124" si="436">IF(L123 &lt;&gt; 0,M123/L123,"")</f>
        <v/>
      </c>
      <c r="O123" s="21">
        <f>COUNTIFS('Data-TED-1'!$AH:$AH,O$1,'Data-TED-1'!$Q:$Q,"&lt;&gt;" &amp; "")</f>
        <v>0</v>
      </c>
      <c r="P123" s="21">
        <f>COUNTIFS('Data-TED-1'!$AH:$AH,O$1,'Data-TED-1'!$Q:$Q,$B123)</f>
        <v>0</v>
      </c>
      <c r="Q123" s="27" t="str">
        <f t="shared" ref="Q123:Q124" si="437">IF(O123 &lt;&gt; 0,P123/O123,"")</f>
        <v/>
      </c>
      <c r="R123" s="21">
        <f>COUNTIFS('Data-TED-1'!$AH:$AH,R$1,'Data-TED-1'!$Q:$Q,"&lt;&gt;" &amp; "")</f>
        <v>0</v>
      </c>
      <c r="S123" s="21">
        <f>COUNTIFS('Data-TED-1'!$AH:$AH,R$1,'Data-TED-1'!$Q:$Q,$B123)</f>
        <v>0</v>
      </c>
      <c r="T123" s="27" t="str">
        <f t="shared" ref="T123:T124" si="438">IF(R123 &lt;&gt; 0,S123/R123,"")</f>
        <v/>
      </c>
      <c r="U123" s="21">
        <f>COUNTIFS('Data-TED-1'!$AH:$AH,U$1,'Data-TED-1'!$Q:$Q,"&lt;&gt;" &amp; "")</f>
        <v>0</v>
      </c>
      <c r="V123" s="21">
        <f>COUNTIFS('Data-TED-1'!$AH:$AH,U$1,'Data-TED-1'!$Q:$Q,$B123)</f>
        <v>0</v>
      </c>
      <c r="W123" s="27" t="str">
        <f t="shared" ref="W123:W124" si="439">IF(U123 &lt;&gt; 0,V123/U123,"")</f>
        <v/>
      </c>
      <c r="X123" s="21">
        <f>COUNTIFS('Data-TED-1'!$AH:$AH,X$1,'Data-TED-1'!$Q:$Q,"&lt;&gt;" &amp; "")</f>
        <v>0</v>
      </c>
      <c r="Y123" s="21">
        <f>COUNTIFS('Data-TED-1'!$AH:$AH,X$1,'Data-TED-1'!$Q:$Q,$B123)</f>
        <v>0</v>
      </c>
      <c r="Z123" s="27" t="str">
        <f t="shared" ref="Z123:Z124" si="440">IF(X123 &lt;&gt; 0,Y123/X123,"")</f>
        <v/>
      </c>
      <c r="AA123" s="21">
        <f>COUNTIFS('Data-TED-1'!$AH:$AH,AA$1,'Data-TED-1'!$Q:$Q,"&lt;&gt;" &amp; "")</f>
        <v>0</v>
      </c>
      <c r="AB123" s="21">
        <f>COUNTIFS('Data-TED-1'!$AH:$AH,AA$1,'Data-TED-1'!$Q:$Q,$B123)</f>
        <v>0</v>
      </c>
      <c r="AC123" s="27" t="str">
        <f t="shared" ref="AC123:AC124" si="441">IF(AA123 &lt;&gt; 0,AB123/AA123,"")</f>
        <v/>
      </c>
      <c r="AD123" s="21">
        <f>COUNTIFS('Data-TED-1'!$AH:$AH,AD$1,'Data-TED-1'!$Q:$Q,"&lt;&gt;" &amp; "")</f>
        <v>1</v>
      </c>
      <c r="AE123" s="21">
        <f>COUNTIFS('Data-TED-1'!$AH:$AH,AD$1,'Data-TED-1'!$Q:$Q,$B123)</f>
        <v>0</v>
      </c>
      <c r="AF123" s="27">
        <f t="shared" ref="AF123:AF124" si="442">IF(AD123 &lt;&gt; 0,AE123/AD123,"")</f>
        <v>0</v>
      </c>
      <c r="AG123" s="21">
        <f>COUNTIFS('Data-TED-1'!$AH:$AH,AG$1,'Data-TED-1'!$Q:$Q,"&lt;&gt;" &amp; "")</f>
        <v>0</v>
      </c>
      <c r="AH123" s="21">
        <f>COUNTIFS('Data-TED-1'!$AH:$AH,AG$1,'Data-TED-1'!$Q:$Q,$B123)</f>
        <v>0</v>
      </c>
      <c r="AI123" s="27" t="str">
        <f t="shared" ref="AI123:AI124" si="443">IF(AG123 &lt;&gt; 0,AH123/AG123,"")</f>
        <v/>
      </c>
      <c r="AJ123" s="21">
        <f>COUNTIFS('Data-TED-1'!$AH:$AH,AJ$1,'Data-TED-1'!$Q:$Q,"&lt;&gt;" &amp; "")</f>
        <v>0</v>
      </c>
      <c r="AK123" s="21">
        <f>COUNTIFS('Data-TED-1'!$AH:$AH,AJ$1,'Data-TED-1'!$Q:$Q,$B123)</f>
        <v>0</v>
      </c>
      <c r="AL123" s="27" t="str">
        <f t="shared" ref="AL123:AL124" si="444">IF(AJ123 &lt;&gt; 0,AK123/AJ123,"")</f>
        <v/>
      </c>
      <c r="AM123" s="21">
        <f>COUNTIFS('Data-TED-1'!$AH:$AH,AM$1,'Data-TED-1'!$Q:$Q,"&lt;&gt;" &amp; "")</f>
        <v>0</v>
      </c>
      <c r="AN123" s="21">
        <f>COUNTIFS('Data-TED-1'!$AH:$AH,AM$1,'Data-TED-1'!$Q:$Q,$B123)</f>
        <v>0</v>
      </c>
      <c r="AO123" s="27" t="str">
        <f t="shared" ref="AO123:AO124" si="445">IF(AM123 &lt;&gt; 0,AN123/AM123,"")</f>
        <v/>
      </c>
    </row>
    <row r="124" spans="1:41" x14ac:dyDescent="0.3">
      <c r="A124" s="25"/>
      <c r="B124" s="5" t="s">
        <v>21</v>
      </c>
      <c r="C124" s="21">
        <f>C123</f>
        <v>1</v>
      </c>
      <c r="D124" s="21">
        <f>G124+J124+M124+P124+S124+V124+Y124+AB124+AE124+AH124+AK124+AN124</f>
        <v>1</v>
      </c>
      <c r="E124" s="27">
        <f t="shared" si="187"/>
        <v>1</v>
      </c>
      <c r="F124" s="21">
        <f>F123</f>
        <v>0</v>
      </c>
      <c r="G124" s="21">
        <f>COUNTIFS('Data-TED-1'!$AH:$AH,F$1,'Data-TED-1'!$Q:$Q,$B124)</f>
        <v>0</v>
      </c>
      <c r="H124" s="27" t="str">
        <f t="shared" si="188"/>
        <v/>
      </c>
      <c r="I124" s="21">
        <f>I123</f>
        <v>0</v>
      </c>
      <c r="J124" s="21">
        <f>COUNTIFS('Data-TED-1'!$AH:$AH,I$1,'Data-TED-1'!$Q:$Q,$B124)</f>
        <v>0</v>
      </c>
      <c r="K124" s="27" t="str">
        <f t="shared" si="435"/>
        <v/>
      </c>
      <c r="L124" s="21">
        <f>L123</f>
        <v>0</v>
      </c>
      <c r="M124" s="21">
        <f>COUNTIFS('Data-TED-1'!$AH:$AH,L$1,'Data-TED-1'!$Q:$Q,$B124)</f>
        <v>0</v>
      </c>
      <c r="N124" s="27" t="str">
        <f t="shared" si="436"/>
        <v/>
      </c>
      <c r="O124" s="21">
        <f>O123</f>
        <v>0</v>
      </c>
      <c r="P124" s="21">
        <f>COUNTIFS('Data-TED-1'!$AH:$AH,O$1,'Data-TED-1'!$Q:$Q,$B124)</f>
        <v>0</v>
      </c>
      <c r="Q124" s="27" t="str">
        <f t="shared" si="437"/>
        <v/>
      </c>
      <c r="R124" s="21">
        <f>R123</f>
        <v>0</v>
      </c>
      <c r="S124" s="21">
        <f>COUNTIFS('Data-TED-1'!$AH:$AH,R$1,'Data-TED-1'!$Q:$Q,$B124)</f>
        <v>0</v>
      </c>
      <c r="T124" s="27" t="str">
        <f t="shared" si="438"/>
        <v/>
      </c>
      <c r="U124" s="21">
        <f>U123</f>
        <v>0</v>
      </c>
      <c r="V124" s="21">
        <f>COUNTIFS('Data-TED-1'!$AH:$AH,U$1,'Data-TED-1'!$Q:$Q,$B124)</f>
        <v>0</v>
      </c>
      <c r="W124" s="27" t="str">
        <f t="shared" si="439"/>
        <v/>
      </c>
      <c r="X124" s="21">
        <f>X123</f>
        <v>0</v>
      </c>
      <c r="Y124" s="21">
        <f>COUNTIFS('Data-TED-1'!$AH:$AH,X$1,'Data-TED-1'!$Q:$Q,$B124)</f>
        <v>0</v>
      </c>
      <c r="Z124" s="27" t="str">
        <f t="shared" si="440"/>
        <v/>
      </c>
      <c r="AA124" s="21">
        <f>AA123</f>
        <v>0</v>
      </c>
      <c r="AB124" s="21">
        <f>COUNTIFS('Data-TED-1'!$AH:$AH,AA$1,'Data-TED-1'!$Q:$Q,$B124)</f>
        <v>0</v>
      </c>
      <c r="AC124" s="27" t="str">
        <f t="shared" si="441"/>
        <v/>
      </c>
      <c r="AD124" s="21">
        <f>AD123</f>
        <v>1</v>
      </c>
      <c r="AE124" s="21">
        <f>COUNTIFS('Data-TED-1'!$AH:$AH,AD$1,'Data-TED-1'!$Q:$Q,$B124)</f>
        <v>1</v>
      </c>
      <c r="AF124" s="27">
        <f t="shared" si="442"/>
        <v>1</v>
      </c>
      <c r="AG124" s="21">
        <f>AG123</f>
        <v>0</v>
      </c>
      <c r="AH124" s="21">
        <f>COUNTIFS('Data-TED-1'!$AH:$AH,AG$1,'Data-TED-1'!$Q:$Q,$B124)</f>
        <v>0</v>
      </c>
      <c r="AI124" s="27" t="str">
        <f t="shared" si="443"/>
        <v/>
      </c>
      <c r="AJ124" s="21">
        <f>AJ123</f>
        <v>0</v>
      </c>
      <c r="AK124" s="21">
        <f>COUNTIFS('Data-TED-1'!$AH:$AH,AJ$1,'Data-TED-1'!$Q:$Q,$B124)</f>
        <v>0</v>
      </c>
      <c r="AL124" s="27" t="str">
        <f t="shared" si="444"/>
        <v/>
      </c>
      <c r="AM124" s="21">
        <f>AM123</f>
        <v>0</v>
      </c>
      <c r="AN124" s="21">
        <f>COUNTIFS('Data-TED-1'!$AH:$AH,AM$1,'Data-TED-1'!$Q:$Q,$B124)</f>
        <v>0</v>
      </c>
      <c r="AO124" s="27" t="str">
        <f t="shared" si="445"/>
        <v/>
      </c>
    </row>
    <row r="125" spans="1:41" x14ac:dyDescent="0.3">
      <c r="A125" s="21" t="s">
        <v>53</v>
      </c>
      <c r="B125" s="22" t="s">
        <v>54</v>
      </c>
      <c r="C125" s="21"/>
      <c r="D125" s="21"/>
      <c r="E125" s="27"/>
      <c r="F125" s="21"/>
      <c r="G125" s="21"/>
      <c r="H125" s="27"/>
      <c r="I125" s="21"/>
      <c r="J125" s="21"/>
      <c r="K125" s="27"/>
      <c r="L125" s="21"/>
      <c r="M125" s="21"/>
      <c r="N125" s="27"/>
      <c r="O125" s="21"/>
      <c r="P125" s="21"/>
      <c r="Q125" s="27"/>
      <c r="R125" s="21"/>
      <c r="S125" s="21"/>
      <c r="T125" s="27"/>
      <c r="U125" s="21"/>
      <c r="V125" s="21"/>
      <c r="W125" s="27"/>
      <c r="X125" s="21"/>
      <c r="Y125" s="21"/>
      <c r="Z125" s="27"/>
      <c r="AA125" s="21"/>
      <c r="AB125" s="21"/>
      <c r="AC125" s="27"/>
      <c r="AD125" s="21"/>
      <c r="AE125" s="21"/>
      <c r="AF125" s="27"/>
      <c r="AG125" s="21"/>
      <c r="AH125" s="21"/>
      <c r="AI125" s="27"/>
      <c r="AJ125" s="21"/>
      <c r="AK125" s="21"/>
      <c r="AL125" s="27"/>
      <c r="AM125" s="21"/>
      <c r="AN125" s="21"/>
      <c r="AO125" s="27"/>
    </row>
    <row r="126" spans="1:41" x14ac:dyDescent="0.3">
      <c r="A126" s="25"/>
      <c r="B126" s="5" t="s">
        <v>51</v>
      </c>
      <c r="C126" s="21">
        <f>COUNTIF('Data-TED-1'!$R:$R,"&lt;&gt;" &amp; "")-1</f>
        <v>1</v>
      </c>
      <c r="D126" s="21">
        <f>G126+J126+M126+P126+S126+V126+Y126+AB126+AE126+AH126+AK126+AN126</f>
        <v>0</v>
      </c>
      <c r="E126" s="27">
        <f t="shared" si="187"/>
        <v>0</v>
      </c>
      <c r="F126" s="21">
        <f>COUNTIFS('Data-TED-1'!$AH:$AH,F$1,'Data-TED-1'!$R:$R,"&lt;&gt;" &amp; "")</f>
        <v>0</v>
      </c>
      <c r="G126" s="21">
        <f>COUNTIFS('Data-TED-1'!$AH:$AH,F$1,'Data-TED-1'!$R:$R,$B126)</f>
        <v>0</v>
      </c>
      <c r="H126" s="27" t="str">
        <f t="shared" si="188"/>
        <v/>
      </c>
      <c r="I126" s="21">
        <f>COUNTIFS('Data-TED-1'!$AH:$AH,I$1,'Data-TED-1'!$R:$R,"&lt;&gt;" &amp; "")</f>
        <v>0</v>
      </c>
      <c r="J126" s="21">
        <f>COUNTIFS('Data-TED-1'!$AH:$AH,I$1,'Data-TED-1'!$R:$R,$B126)</f>
        <v>0</v>
      </c>
      <c r="K126" s="27" t="str">
        <f t="shared" ref="K126:K127" si="446">IF(I126 &lt;&gt; 0,J126/I126,"")</f>
        <v/>
      </c>
      <c r="L126" s="21">
        <f>COUNTIFS('Data-TED-1'!$AH:$AH,L$1,'Data-TED-1'!$R:$R,"&lt;&gt;" &amp; "")</f>
        <v>0</v>
      </c>
      <c r="M126" s="21">
        <f>COUNTIFS('Data-TED-1'!$AH:$AH,L$1,'Data-TED-1'!$R:$R,$B126)</f>
        <v>0</v>
      </c>
      <c r="N126" s="27" t="str">
        <f t="shared" ref="N126:N127" si="447">IF(L126 &lt;&gt; 0,M126/L126,"")</f>
        <v/>
      </c>
      <c r="O126" s="21">
        <f>COUNTIFS('Data-TED-1'!$AH:$AH,O$1,'Data-TED-1'!$R:$R,"&lt;&gt;" &amp; "")</f>
        <v>0</v>
      </c>
      <c r="P126" s="21">
        <f>COUNTIFS('Data-TED-1'!$AH:$AH,O$1,'Data-TED-1'!$R:$R,$B126)</f>
        <v>0</v>
      </c>
      <c r="Q126" s="27" t="str">
        <f t="shared" ref="Q126:Q127" si="448">IF(O126 &lt;&gt; 0,P126/O126,"")</f>
        <v/>
      </c>
      <c r="R126" s="21">
        <f>COUNTIFS('Data-TED-1'!$AH:$AH,R$1,'Data-TED-1'!$R:$R,"&lt;&gt;" &amp; "")</f>
        <v>0</v>
      </c>
      <c r="S126" s="21">
        <f>COUNTIFS('Data-TED-1'!$AH:$AH,R$1,'Data-TED-1'!$R:$R,$B126)</f>
        <v>0</v>
      </c>
      <c r="T126" s="27" t="str">
        <f t="shared" ref="T126:T127" si="449">IF(R126 &lt;&gt; 0,S126/R126,"")</f>
        <v/>
      </c>
      <c r="U126" s="21">
        <f>COUNTIFS('Data-TED-1'!$AH:$AH,U$1,'Data-TED-1'!$R:$R,"&lt;&gt;" &amp; "")</f>
        <v>0</v>
      </c>
      <c r="V126" s="21">
        <f>COUNTIFS('Data-TED-1'!$AH:$AH,U$1,'Data-TED-1'!$R:$R,$B126)</f>
        <v>0</v>
      </c>
      <c r="W126" s="27" t="str">
        <f t="shared" ref="W126:W127" si="450">IF(U126 &lt;&gt; 0,V126/U126,"")</f>
        <v/>
      </c>
      <c r="X126" s="21">
        <f>COUNTIFS('Data-TED-1'!$AH:$AH,X$1,'Data-TED-1'!$R:$R,"&lt;&gt;" &amp; "")</f>
        <v>0</v>
      </c>
      <c r="Y126" s="21">
        <f>COUNTIFS('Data-TED-1'!$AH:$AH,X$1,'Data-TED-1'!$R:$R,$B126)</f>
        <v>0</v>
      </c>
      <c r="Z126" s="27" t="str">
        <f t="shared" ref="Z126:Z127" si="451">IF(X126 &lt;&gt; 0,Y126/X126,"")</f>
        <v/>
      </c>
      <c r="AA126" s="21">
        <f>COUNTIFS('Data-TED-1'!$AH:$AH,AA$1,'Data-TED-1'!$R:$R,"&lt;&gt;" &amp; "")</f>
        <v>0</v>
      </c>
      <c r="AB126" s="21">
        <f>COUNTIFS('Data-TED-1'!$AH:$AH,AA$1,'Data-TED-1'!$R:$R,$B126)</f>
        <v>0</v>
      </c>
      <c r="AC126" s="27" t="str">
        <f t="shared" ref="AC126:AC127" si="452">IF(AA126 &lt;&gt; 0,AB126/AA126,"")</f>
        <v/>
      </c>
      <c r="AD126" s="21">
        <f>COUNTIFS('Data-TED-1'!$AH:$AH,AD$1,'Data-TED-1'!$R:$R,"&lt;&gt;" &amp; "")</f>
        <v>1</v>
      </c>
      <c r="AE126" s="21">
        <f>COUNTIFS('Data-TED-1'!$AH:$AH,AD$1,'Data-TED-1'!$R:$R,$B126)</f>
        <v>0</v>
      </c>
      <c r="AF126" s="27">
        <f t="shared" ref="AF126:AF127" si="453">IF(AD126 &lt;&gt; 0,AE126/AD126,"")</f>
        <v>0</v>
      </c>
      <c r="AG126" s="21">
        <f>COUNTIFS('Data-TED-1'!$AH:$AH,AG$1,'Data-TED-1'!$R:$R,"&lt;&gt;" &amp; "")</f>
        <v>0</v>
      </c>
      <c r="AH126" s="21">
        <f>COUNTIFS('Data-TED-1'!$AH:$AH,AG$1,'Data-TED-1'!$R:$R,$B126)</f>
        <v>0</v>
      </c>
      <c r="AI126" s="27" t="str">
        <f t="shared" ref="AI126:AI127" si="454">IF(AG126 &lt;&gt; 0,AH126/AG126,"")</f>
        <v/>
      </c>
      <c r="AJ126" s="21">
        <f>COUNTIFS('Data-TED-1'!$AH:$AH,AJ$1,'Data-TED-1'!$R:$R,"&lt;&gt;" &amp; "")</f>
        <v>0</v>
      </c>
      <c r="AK126" s="21">
        <f>COUNTIFS('Data-TED-1'!$AH:$AH,AJ$1,'Data-TED-1'!$R:$R,$B126)</f>
        <v>0</v>
      </c>
      <c r="AL126" s="27" t="str">
        <f t="shared" ref="AL126:AL127" si="455">IF(AJ126 &lt;&gt; 0,AK126/AJ126,"")</f>
        <v/>
      </c>
      <c r="AM126" s="21">
        <f>COUNTIFS('Data-TED-1'!$AH:$AH,AM$1,'Data-TED-1'!$R:$R,"&lt;&gt;" &amp; "")</f>
        <v>0</v>
      </c>
      <c r="AN126" s="21">
        <f>COUNTIFS('Data-TED-1'!$AH:$AH,AM$1,'Data-TED-1'!$R:$R,$B126)</f>
        <v>0</v>
      </c>
      <c r="AO126" s="27" t="str">
        <f t="shared" ref="AO126:AO127" si="456">IF(AM126 &lt;&gt; 0,AN126/AM126,"")</f>
        <v/>
      </c>
    </row>
    <row r="127" spans="1:41" x14ac:dyDescent="0.3">
      <c r="A127" s="25"/>
      <c r="B127" s="5" t="s">
        <v>21</v>
      </c>
      <c r="C127" s="21">
        <f>C126</f>
        <v>1</v>
      </c>
      <c r="D127" s="21">
        <f>G127+J127+M127+P127+S127+V127+Y127+AB127+AE127+AH127+AK127+AN127</f>
        <v>1</v>
      </c>
      <c r="E127" s="27">
        <f t="shared" ref="E127:E154" si="457">IF(C127 &lt;&gt; 0,D127/C127,"")</f>
        <v>1</v>
      </c>
      <c r="F127" s="21">
        <f>F126</f>
        <v>0</v>
      </c>
      <c r="G127" s="21">
        <f>COUNTIFS('Data-TED-1'!$AH:$AH,F$1,'Data-TED-1'!$R:$R,$B127)</f>
        <v>0</v>
      </c>
      <c r="H127" s="27" t="str">
        <f t="shared" ref="H127:H154" si="458">IF(F127 &lt;&gt; 0,G127/F127,"")</f>
        <v/>
      </c>
      <c r="I127" s="21">
        <f>I126</f>
        <v>0</v>
      </c>
      <c r="J127" s="21">
        <f>COUNTIFS('Data-TED-1'!$AH:$AH,I$1,'Data-TED-1'!$R:$R,$B127)</f>
        <v>0</v>
      </c>
      <c r="K127" s="27" t="str">
        <f t="shared" si="446"/>
        <v/>
      </c>
      <c r="L127" s="21">
        <f>L126</f>
        <v>0</v>
      </c>
      <c r="M127" s="21">
        <f>COUNTIFS('Data-TED-1'!$AH:$AH,L$1,'Data-TED-1'!$R:$R,$B127)</f>
        <v>0</v>
      </c>
      <c r="N127" s="27" t="str">
        <f t="shared" si="447"/>
        <v/>
      </c>
      <c r="O127" s="21">
        <f>O126</f>
        <v>0</v>
      </c>
      <c r="P127" s="21">
        <f>COUNTIFS('Data-TED-1'!$AH:$AH,O$1,'Data-TED-1'!$R:$R,$B127)</f>
        <v>0</v>
      </c>
      <c r="Q127" s="27" t="str">
        <f t="shared" si="448"/>
        <v/>
      </c>
      <c r="R127" s="21">
        <f>R126</f>
        <v>0</v>
      </c>
      <c r="S127" s="21">
        <f>COUNTIFS('Data-TED-1'!$AH:$AH,R$1,'Data-TED-1'!$R:$R,$B127)</f>
        <v>0</v>
      </c>
      <c r="T127" s="27" t="str">
        <f t="shared" si="449"/>
        <v/>
      </c>
      <c r="U127" s="21">
        <f>U126</f>
        <v>0</v>
      </c>
      <c r="V127" s="21">
        <f>COUNTIFS('Data-TED-1'!$AH:$AH,U$1,'Data-TED-1'!$R:$R,$B127)</f>
        <v>0</v>
      </c>
      <c r="W127" s="27" t="str">
        <f t="shared" si="450"/>
        <v/>
      </c>
      <c r="X127" s="21">
        <f>X126</f>
        <v>0</v>
      </c>
      <c r="Y127" s="21">
        <f>COUNTIFS('Data-TED-1'!$AH:$AH,X$1,'Data-TED-1'!$R:$R,$B127)</f>
        <v>0</v>
      </c>
      <c r="Z127" s="27" t="str">
        <f t="shared" si="451"/>
        <v/>
      </c>
      <c r="AA127" s="21">
        <f>AA126</f>
        <v>0</v>
      </c>
      <c r="AB127" s="21">
        <f>COUNTIFS('Data-TED-1'!$AH:$AH,AA$1,'Data-TED-1'!$R:$R,$B127)</f>
        <v>0</v>
      </c>
      <c r="AC127" s="27" t="str">
        <f t="shared" si="452"/>
        <v/>
      </c>
      <c r="AD127" s="21">
        <f>AD126</f>
        <v>1</v>
      </c>
      <c r="AE127" s="21">
        <f>COUNTIFS('Data-TED-1'!$AH:$AH,AD$1,'Data-TED-1'!$R:$R,$B127)</f>
        <v>1</v>
      </c>
      <c r="AF127" s="27">
        <f t="shared" si="453"/>
        <v>1</v>
      </c>
      <c r="AG127" s="21">
        <f>AG126</f>
        <v>0</v>
      </c>
      <c r="AH127" s="21">
        <f>COUNTIFS('Data-TED-1'!$AH:$AH,AG$1,'Data-TED-1'!$R:$R,$B127)</f>
        <v>0</v>
      </c>
      <c r="AI127" s="27" t="str">
        <f t="shared" si="454"/>
        <v/>
      </c>
      <c r="AJ127" s="21">
        <f>AJ126</f>
        <v>0</v>
      </c>
      <c r="AK127" s="21">
        <f>COUNTIFS('Data-TED-1'!$AH:$AH,AJ$1,'Data-TED-1'!$R:$R,$B127)</f>
        <v>0</v>
      </c>
      <c r="AL127" s="27" t="str">
        <f t="shared" si="455"/>
        <v/>
      </c>
      <c r="AM127" s="21">
        <f>AM126</f>
        <v>0</v>
      </c>
      <c r="AN127" s="21">
        <f>COUNTIFS('Data-TED-1'!$AH:$AH,AM$1,'Data-TED-1'!$R:$R,$B127)</f>
        <v>0</v>
      </c>
      <c r="AO127" s="27" t="str">
        <f t="shared" si="456"/>
        <v/>
      </c>
    </row>
    <row r="128" spans="1:41" x14ac:dyDescent="0.3">
      <c r="A128" s="21" t="s">
        <v>55</v>
      </c>
      <c r="B128" s="22" t="s">
        <v>41</v>
      </c>
      <c r="C128" s="21"/>
      <c r="D128" s="21"/>
      <c r="E128" s="27"/>
      <c r="F128" s="21"/>
      <c r="G128" s="21"/>
      <c r="H128" s="27"/>
      <c r="I128" s="21"/>
      <c r="J128" s="21"/>
      <c r="K128" s="27"/>
      <c r="L128" s="21"/>
      <c r="M128" s="21"/>
      <c r="N128" s="27"/>
      <c r="O128" s="21"/>
      <c r="P128" s="21"/>
      <c r="Q128" s="27"/>
      <c r="R128" s="21"/>
      <c r="S128" s="21"/>
      <c r="T128" s="27"/>
      <c r="U128" s="21"/>
      <c r="V128" s="21"/>
      <c r="W128" s="27"/>
      <c r="X128" s="21"/>
      <c r="Y128" s="21"/>
      <c r="Z128" s="27"/>
      <c r="AA128" s="21"/>
      <c r="AB128" s="21"/>
      <c r="AC128" s="27"/>
      <c r="AD128" s="21"/>
      <c r="AE128" s="21"/>
      <c r="AF128" s="27"/>
      <c r="AG128" s="21"/>
      <c r="AH128" s="21"/>
      <c r="AI128" s="27"/>
      <c r="AJ128" s="21"/>
      <c r="AK128" s="21"/>
      <c r="AL128" s="27"/>
      <c r="AM128" s="21"/>
      <c r="AN128" s="21"/>
      <c r="AO128" s="27"/>
    </row>
    <row r="129" spans="1:41" x14ac:dyDescent="0.3">
      <c r="A129" s="25"/>
      <c r="B129" s="5" t="s">
        <v>51</v>
      </c>
      <c r="C129" s="21">
        <f>COUNTIF('Data-TED-1'!$S:$S,"&lt;&gt;" &amp; "")-1</f>
        <v>1</v>
      </c>
      <c r="D129" s="21">
        <f>G129+J129+M129+P129+S129+V129+Y129+AB129+AE129+AH129+AK129+AN129</f>
        <v>0</v>
      </c>
      <c r="E129" s="27">
        <f t="shared" si="457"/>
        <v>0</v>
      </c>
      <c r="F129" s="21">
        <f>COUNTIFS('Data-TED-1'!$AH:$AH,F$1,'Data-TED-1'!$S:$S,"&lt;&gt;" &amp; "")</f>
        <v>0</v>
      </c>
      <c r="G129" s="21">
        <f>COUNTIFS('Data-TED-1'!$AH:$AH,F$1,'Data-TED-1'!$S:$S,$B129)</f>
        <v>0</v>
      </c>
      <c r="H129" s="27" t="str">
        <f t="shared" si="458"/>
        <v/>
      </c>
      <c r="I129" s="21">
        <f>COUNTIFS('Data-TED-1'!$AH:$AH,I$1,'Data-TED-1'!$S:$S,"&lt;&gt;" &amp; "")</f>
        <v>0</v>
      </c>
      <c r="J129" s="21">
        <f>COUNTIFS('Data-TED-1'!$AH:$AH,I$1,'Data-TED-1'!$S:$S,$B129)</f>
        <v>0</v>
      </c>
      <c r="K129" s="27" t="str">
        <f t="shared" ref="K129:K130" si="459">IF(I129 &lt;&gt; 0,J129/I129,"")</f>
        <v/>
      </c>
      <c r="L129" s="21">
        <f>COUNTIFS('Data-TED-1'!$AH:$AH,L$1,'Data-TED-1'!$S:$S,"&lt;&gt;" &amp; "")</f>
        <v>0</v>
      </c>
      <c r="M129" s="21">
        <f>COUNTIFS('Data-TED-1'!$AH:$AH,L$1,'Data-TED-1'!$S:$S,$B129)</f>
        <v>0</v>
      </c>
      <c r="N129" s="27" t="str">
        <f t="shared" ref="N129:N130" si="460">IF(L129 &lt;&gt; 0,M129/L129,"")</f>
        <v/>
      </c>
      <c r="O129" s="21">
        <f>COUNTIFS('Data-TED-1'!$AH:$AH,O$1,'Data-TED-1'!$S:$S,"&lt;&gt;" &amp; "")</f>
        <v>0</v>
      </c>
      <c r="P129" s="21">
        <f>COUNTIFS('Data-TED-1'!$AH:$AH,O$1,'Data-TED-1'!$S:$S,$B129)</f>
        <v>0</v>
      </c>
      <c r="Q129" s="27" t="str">
        <f t="shared" ref="Q129:Q130" si="461">IF(O129 &lt;&gt; 0,P129/O129,"")</f>
        <v/>
      </c>
      <c r="R129" s="21">
        <f>COUNTIFS('Data-TED-1'!$AH:$AH,R$1,'Data-TED-1'!$S:$S,"&lt;&gt;" &amp; "")</f>
        <v>0</v>
      </c>
      <c r="S129" s="21">
        <f>COUNTIFS('Data-TED-1'!$AH:$AH,R$1,'Data-TED-1'!$S:$S,$B129)</f>
        <v>0</v>
      </c>
      <c r="T129" s="27" t="str">
        <f t="shared" ref="T129:T130" si="462">IF(R129 &lt;&gt; 0,S129/R129,"")</f>
        <v/>
      </c>
      <c r="U129" s="21">
        <f>COUNTIFS('Data-TED-1'!$AH:$AH,U$1,'Data-TED-1'!$S:$S,"&lt;&gt;" &amp; "")</f>
        <v>0</v>
      </c>
      <c r="V129" s="21">
        <f>COUNTIFS('Data-TED-1'!$AH:$AH,U$1,'Data-TED-1'!$S:$S,$B129)</f>
        <v>0</v>
      </c>
      <c r="W129" s="27" t="str">
        <f t="shared" ref="W129:W130" si="463">IF(U129 &lt;&gt; 0,V129/U129,"")</f>
        <v/>
      </c>
      <c r="X129" s="21">
        <f>COUNTIFS('Data-TED-1'!$AH:$AH,X$1,'Data-TED-1'!$S:$S,"&lt;&gt;" &amp; "")</f>
        <v>0</v>
      </c>
      <c r="Y129" s="21">
        <f>COUNTIFS('Data-TED-1'!$AH:$AH,X$1,'Data-TED-1'!$S:$S,$B129)</f>
        <v>0</v>
      </c>
      <c r="Z129" s="27" t="str">
        <f t="shared" ref="Z129:Z130" si="464">IF(X129 &lt;&gt; 0,Y129/X129,"")</f>
        <v/>
      </c>
      <c r="AA129" s="21">
        <f>COUNTIFS('Data-TED-1'!$AH:$AH,AA$1,'Data-TED-1'!$S:$S,"&lt;&gt;" &amp; "")</f>
        <v>0</v>
      </c>
      <c r="AB129" s="21">
        <f>COUNTIFS('Data-TED-1'!$AH:$AH,AA$1,'Data-TED-1'!$S:$S,$B129)</f>
        <v>0</v>
      </c>
      <c r="AC129" s="27" t="str">
        <f t="shared" ref="AC129:AC130" si="465">IF(AA129 &lt;&gt; 0,AB129/AA129,"")</f>
        <v/>
      </c>
      <c r="AD129" s="21">
        <f>COUNTIFS('Data-TED-1'!$AH:$AH,AD$1,'Data-TED-1'!$S:$S,"&lt;&gt;" &amp; "")</f>
        <v>1</v>
      </c>
      <c r="AE129" s="21">
        <f>COUNTIFS('Data-TED-1'!$AH:$AH,AD$1,'Data-TED-1'!$S:$S,$B129)</f>
        <v>0</v>
      </c>
      <c r="AF129" s="27">
        <f t="shared" ref="AF129:AF130" si="466">IF(AD129 &lt;&gt; 0,AE129/AD129,"")</f>
        <v>0</v>
      </c>
      <c r="AG129" s="21">
        <f>COUNTIFS('Data-TED-1'!$AH:$AH,AG$1,'Data-TED-1'!$S:$S,"&lt;&gt;" &amp; "")</f>
        <v>0</v>
      </c>
      <c r="AH129" s="21">
        <f>COUNTIFS('Data-TED-1'!$AH:$AH,AG$1,'Data-TED-1'!$S:$S,$B129)</f>
        <v>0</v>
      </c>
      <c r="AI129" s="27" t="str">
        <f t="shared" ref="AI129:AI130" si="467">IF(AG129 &lt;&gt; 0,AH129/AG129,"")</f>
        <v/>
      </c>
      <c r="AJ129" s="21">
        <f>COUNTIFS('Data-TED-1'!$AH:$AH,AJ$1,'Data-TED-1'!$S:$S,"&lt;&gt;" &amp; "")</f>
        <v>0</v>
      </c>
      <c r="AK129" s="21">
        <f>COUNTIFS('Data-TED-1'!$AH:$AH,AJ$1,'Data-TED-1'!$S:$S,$B129)</f>
        <v>0</v>
      </c>
      <c r="AL129" s="27" t="str">
        <f t="shared" ref="AL129:AL130" si="468">IF(AJ129 &lt;&gt; 0,AK129/AJ129,"")</f>
        <v/>
      </c>
      <c r="AM129" s="21">
        <f>COUNTIFS('Data-TED-1'!$AH:$AH,AM$1,'Data-TED-1'!$S:$S,"&lt;&gt;" &amp; "")</f>
        <v>0</v>
      </c>
      <c r="AN129" s="21">
        <f>COUNTIFS('Data-TED-1'!$AH:$AH,AM$1,'Data-TED-1'!$S:$S,$B129)</f>
        <v>0</v>
      </c>
      <c r="AO129" s="27" t="str">
        <f t="shared" ref="AO129:AO130" si="469">IF(AM129 &lt;&gt; 0,AN129/AM129,"")</f>
        <v/>
      </c>
    </row>
    <row r="130" spans="1:41" x14ac:dyDescent="0.3">
      <c r="A130" s="25"/>
      <c r="B130" s="5" t="s">
        <v>21</v>
      </c>
      <c r="C130" s="21">
        <f>C129</f>
        <v>1</v>
      </c>
      <c r="D130" s="21">
        <f>G130+J130+M130+P130+S130+V130+Y130+AB130+AE130+AH130+AK130+AN130</f>
        <v>1</v>
      </c>
      <c r="E130" s="27">
        <f t="shared" si="457"/>
        <v>1</v>
      </c>
      <c r="F130" s="21">
        <f>F129</f>
        <v>0</v>
      </c>
      <c r="G130" s="21">
        <f>COUNTIFS('Data-TED-1'!$AH:$AH,F$1,'Data-TED-1'!$S:$S,$B130)</f>
        <v>0</v>
      </c>
      <c r="H130" s="27" t="str">
        <f t="shared" si="458"/>
        <v/>
      </c>
      <c r="I130" s="21">
        <f>I129</f>
        <v>0</v>
      </c>
      <c r="J130" s="21">
        <f>COUNTIFS('Data-TED-1'!$AH:$AH,I$1,'Data-TED-1'!$S:$S,$B130)</f>
        <v>0</v>
      </c>
      <c r="K130" s="27" t="str">
        <f t="shared" si="459"/>
        <v/>
      </c>
      <c r="L130" s="21">
        <f>L129</f>
        <v>0</v>
      </c>
      <c r="M130" s="21">
        <f>COUNTIFS('Data-TED-1'!$AH:$AH,L$1,'Data-TED-1'!$S:$S,$B130)</f>
        <v>0</v>
      </c>
      <c r="N130" s="27" t="str">
        <f t="shared" si="460"/>
        <v/>
      </c>
      <c r="O130" s="21">
        <f>O129</f>
        <v>0</v>
      </c>
      <c r="P130" s="21">
        <f>COUNTIFS('Data-TED-1'!$AH:$AH,O$1,'Data-TED-1'!$S:$S,$B130)</f>
        <v>0</v>
      </c>
      <c r="Q130" s="27" t="str">
        <f t="shared" si="461"/>
        <v/>
      </c>
      <c r="R130" s="21">
        <f>R129</f>
        <v>0</v>
      </c>
      <c r="S130" s="21">
        <f>COUNTIFS('Data-TED-1'!$AH:$AH,R$1,'Data-TED-1'!$S:$S,$B130)</f>
        <v>0</v>
      </c>
      <c r="T130" s="27" t="str">
        <f t="shared" si="462"/>
        <v/>
      </c>
      <c r="U130" s="21">
        <f>U129</f>
        <v>0</v>
      </c>
      <c r="V130" s="21">
        <f>COUNTIFS('Data-TED-1'!$AH:$AH,U$1,'Data-TED-1'!$S:$S,$B130)</f>
        <v>0</v>
      </c>
      <c r="W130" s="27" t="str">
        <f t="shared" si="463"/>
        <v/>
      </c>
      <c r="X130" s="21">
        <f>X129</f>
        <v>0</v>
      </c>
      <c r="Y130" s="21">
        <f>COUNTIFS('Data-TED-1'!$AH:$AH,X$1,'Data-TED-1'!$S:$S,$B130)</f>
        <v>0</v>
      </c>
      <c r="Z130" s="27" t="str">
        <f t="shared" si="464"/>
        <v/>
      </c>
      <c r="AA130" s="21">
        <f>AA129</f>
        <v>0</v>
      </c>
      <c r="AB130" s="21">
        <f>COUNTIFS('Data-TED-1'!$AH:$AH,AA$1,'Data-TED-1'!$S:$S,$B130)</f>
        <v>0</v>
      </c>
      <c r="AC130" s="27" t="str">
        <f t="shared" si="465"/>
        <v/>
      </c>
      <c r="AD130" s="21">
        <f>AD129</f>
        <v>1</v>
      </c>
      <c r="AE130" s="21">
        <f>COUNTIFS('Data-TED-1'!$AH:$AH,AD$1,'Data-TED-1'!$S:$S,$B130)</f>
        <v>1</v>
      </c>
      <c r="AF130" s="27">
        <f t="shared" si="466"/>
        <v>1</v>
      </c>
      <c r="AG130" s="21">
        <f>AG129</f>
        <v>0</v>
      </c>
      <c r="AH130" s="21">
        <f>COUNTIFS('Data-TED-1'!$AH:$AH,AG$1,'Data-TED-1'!$S:$S,$B130)</f>
        <v>0</v>
      </c>
      <c r="AI130" s="27" t="str">
        <f t="shared" si="467"/>
        <v/>
      </c>
      <c r="AJ130" s="21">
        <f>AJ129</f>
        <v>0</v>
      </c>
      <c r="AK130" s="21">
        <f>COUNTIFS('Data-TED-1'!$AH:$AH,AJ$1,'Data-TED-1'!$S:$S,$B130)</f>
        <v>0</v>
      </c>
      <c r="AL130" s="27" t="str">
        <f t="shared" si="468"/>
        <v/>
      </c>
      <c r="AM130" s="21">
        <f>AM129</f>
        <v>0</v>
      </c>
      <c r="AN130" s="21">
        <f>COUNTIFS('Data-TED-1'!$AH:$AH,AM$1,'Data-TED-1'!$S:$S,$B130)</f>
        <v>0</v>
      </c>
      <c r="AO130" s="27" t="str">
        <f t="shared" si="469"/>
        <v/>
      </c>
    </row>
    <row r="131" spans="1:41" x14ac:dyDescent="0.3">
      <c r="A131" s="21" t="s">
        <v>56</v>
      </c>
      <c r="B131" s="22" t="s">
        <v>42</v>
      </c>
      <c r="C131" s="21"/>
      <c r="D131" s="21"/>
      <c r="E131" s="27"/>
      <c r="F131" s="21"/>
      <c r="G131" s="21"/>
      <c r="H131" s="27"/>
      <c r="I131" s="21"/>
      <c r="J131" s="21"/>
      <c r="K131" s="27"/>
      <c r="L131" s="21"/>
      <c r="M131" s="21"/>
      <c r="N131" s="27"/>
      <c r="O131" s="21"/>
      <c r="P131" s="21"/>
      <c r="Q131" s="27"/>
      <c r="R131" s="21"/>
      <c r="S131" s="21"/>
      <c r="T131" s="27"/>
      <c r="U131" s="21"/>
      <c r="V131" s="21"/>
      <c r="W131" s="27"/>
      <c r="X131" s="21"/>
      <c r="Y131" s="21"/>
      <c r="Z131" s="27"/>
      <c r="AA131" s="21"/>
      <c r="AB131" s="21"/>
      <c r="AC131" s="27"/>
      <c r="AD131" s="21"/>
      <c r="AE131" s="21"/>
      <c r="AF131" s="27"/>
      <c r="AG131" s="21"/>
      <c r="AH131" s="21"/>
      <c r="AI131" s="27"/>
      <c r="AJ131" s="21"/>
      <c r="AK131" s="21"/>
      <c r="AL131" s="27"/>
      <c r="AM131" s="21"/>
      <c r="AN131" s="21"/>
      <c r="AO131" s="27"/>
    </row>
    <row r="132" spans="1:41" x14ac:dyDescent="0.3">
      <c r="A132" s="25"/>
      <c r="B132" s="5" t="s">
        <v>51</v>
      </c>
      <c r="C132" s="21">
        <f>COUNTIF('Data-TED-1'!$T:$T,"&lt;&gt;" &amp; "")-1</f>
        <v>1</v>
      </c>
      <c r="D132" s="21">
        <f>G132+J132+M132+P132+S132+V132+Y132+AB132+AE132+AH132+AK132+AN132</f>
        <v>0</v>
      </c>
      <c r="E132" s="27">
        <f t="shared" si="457"/>
        <v>0</v>
      </c>
      <c r="F132" s="21">
        <f>COUNTIFS('Data-TED-1'!$AH:$AH,F$1,'Data-TED-1'!$T:$T,"&lt;&gt;" &amp; "")</f>
        <v>0</v>
      </c>
      <c r="G132" s="21">
        <f>COUNTIFS('Data-TED-1'!$AH:$AH,F$1,'Data-TED-1'!$T:$T,$B132)</f>
        <v>0</v>
      </c>
      <c r="H132" s="27" t="str">
        <f t="shared" si="458"/>
        <v/>
      </c>
      <c r="I132" s="21">
        <f>COUNTIFS('Data-TED-1'!$AH:$AH,I$1,'Data-TED-1'!$T:$T,"&lt;&gt;" &amp; "")</f>
        <v>0</v>
      </c>
      <c r="J132" s="21">
        <f>COUNTIFS('Data-TED-1'!$AH:$AH,I$1,'Data-TED-1'!$T:$T,$B132)</f>
        <v>0</v>
      </c>
      <c r="K132" s="27" t="str">
        <f t="shared" ref="K132:K133" si="470">IF(I132 &lt;&gt; 0,J132/I132,"")</f>
        <v/>
      </c>
      <c r="L132" s="21">
        <f>COUNTIFS('Data-TED-1'!$AH:$AH,L$1,'Data-TED-1'!$T:$T,"&lt;&gt;" &amp; "")</f>
        <v>0</v>
      </c>
      <c r="M132" s="21">
        <f>COUNTIFS('Data-TED-1'!$AH:$AH,L$1,'Data-TED-1'!$T:$T,$B132)</f>
        <v>0</v>
      </c>
      <c r="N132" s="27" t="str">
        <f t="shared" ref="N132:N133" si="471">IF(L132 &lt;&gt; 0,M132/L132,"")</f>
        <v/>
      </c>
      <c r="O132" s="21">
        <f>COUNTIFS('Data-TED-1'!$AH:$AH,O$1,'Data-TED-1'!$T:$T,"&lt;&gt;" &amp; "")</f>
        <v>0</v>
      </c>
      <c r="P132" s="21">
        <f>COUNTIFS('Data-TED-1'!$AH:$AH,O$1,'Data-TED-1'!$T:$T,$B132)</f>
        <v>0</v>
      </c>
      <c r="Q132" s="27" t="str">
        <f t="shared" ref="Q132:Q133" si="472">IF(O132 &lt;&gt; 0,P132/O132,"")</f>
        <v/>
      </c>
      <c r="R132" s="21">
        <f>COUNTIFS('Data-TED-1'!$AH:$AH,R$1,'Data-TED-1'!$T:$T,"&lt;&gt;" &amp; "")</f>
        <v>0</v>
      </c>
      <c r="S132" s="21">
        <f>COUNTIFS('Data-TED-1'!$AH:$AH,R$1,'Data-TED-1'!$T:$T,$B132)</f>
        <v>0</v>
      </c>
      <c r="T132" s="27" t="str">
        <f t="shared" ref="T132:T133" si="473">IF(R132 &lt;&gt; 0,S132/R132,"")</f>
        <v/>
      </c>
      <c r="U132" s="21">
        <f>COUNTIFS('Data-TED-1'!$AH:$AH,U$1,'Data-TED-1'!$T:$T,"&lt;&gt;" &amp; "")</f>
        <v>0</v>
      </c>
      <c r="V132" s="21">
        <f>COUNTIFS('Data-TED-1'!$AH:$AH,U$1,'Data-TED-1'!$T:$T,$B132)</f>
        <v>0</v>
      </c>
      <c r="W132" s="27" t="str">
        <f t="shared" ref="W132:W133" si="474">IF(U132 &lt;&gt; 0,V132/U132,"")</f>
        <v/>
      </c>
      <c r="X132" s="21">
        <f>COUNTIFS('Data-TED-1'!$AH:$AH,X$1,'Data-TED-1'!$T:$T,"&lt;&gt;" &amp; "")</f>
        <v>0</v>
      </c>
      <c r="Y132" s="21">
        <f>COUNTIFS('Data-TED-1'!$AH:$AH,X$1,'Data-TED-1'!$T:$T,$B132)</f>
        <v>0</v>
      </c>
      <c r="Z132" s="27" t="str">
        <f t="shared" ref="Z132:Z133" si="475">IF(X132 &lt;&gt; 0,Y132/X132,"")</f>
        <v/>
      </c>
      <c r="AA132" s="21">
        <f>COUNTIFS('Data-TED-1'!$AH:$AH,AA$1,'Data-TED-1'!$T:$T,"&lt;&gt;" &amp; "")</f>
        <v>0</v>
      </c>
      <c r="AB132" s="21">
        <f>COUNTIFS('Data-TED-1'!$AH:$AH,AA$1,'Data-TED-1'!$T:$T,$B132)</f>
        <v>0</v>
      </c>
      <c r="AC132" s="27" t="str">
        <f t="shared" ref="AC132:AC133" si="476">IF(AA132 &lt;&gt; 0,AB132/AA132,"")</f>
        <v/>
      </c>
      <c r="AD132" s="21">
        <f>COUNTIFS('Data-TED-1'!$AH:$AH,AD$1,'Data-TED-1'!$T:$T,"&lt;&gt;" &amp; "")</f>
        <v>1</v>
      </c>
      <c r="AE132" s="21">
        <f>COUNTIFS('Data-TED-1'!$AH:$AH,AD$1,'Data-TED-1'!$T:$T,$B132)</f>
        <v>0</v>
      </c>
      <c r="AF132" s="27">
        <f t="shared" ref="AF132:AF133" si="477">IF(AD132 &lt;&gt; 0,AE132/AD132,"")</f>
        <v>0</v>
      </c>
      <c r="AG132" s="21">
        <f>COUNTIFS('Data-TED-1'!$AH:$AH,AG$1,'Data-TED-1'!$T:$T,"&lt;&gt;" &amp; "")</f>
        <v>0</v>
      </c>
      <c r="AH132" s="21">
        <f>COUNTIFS('Data-TED-1'!$AH:$AH,AG$1,'Data-TED-1'!$T:$T,$B132)</f>
        <v>0</v>
      </c>
      <c r="AI132" s="27" t="str">
        <f t="shared" ref="AI132:AI133" si="478">IF(AG132 &lt;&gt; 0,AH132/AG132,"")</f>
        <v/>
      </c>
      <c r="AJ132" s="21">
        <f>COUNTIFS('Data-TED-1'!$AH:$AH,AJ$1,'Data-TED-1'!$T:$T,"&lt;&gt;" &amp; "")</f>
        <v>0</v>
      </c>
      <c r="AK132" s="21">
        <f>COUNTIFS('Data-TED-1'!$AH:$AH,AJ$1,'Data-TED-1'!$T:$T,$B132)</f>
        <v>0</v>
      </c>
      <c r="AL132" s="27" t="str">
        <f t="shared" ref="AL132:AL133" si="479">IF(AJ132 &lt;&gt; 0,AK132/AJ132,"")</f>
        <v/>
      </c>
      <c r="AM132" s="21">
        <f>COUNTIFS('Data-TED-1'!$AH:$AH,AM$1,'Data-TED-1'!$T:$T,"&lt;&gt;" &amp; "")</f>
        <v>0</v>
      </c>
      <c r="AN132" s="21">
        <f>COUNTIFS('Data-TED-1'!$AH:$AH,AM$1,'Data-TED-1'!$T:$T,$B132)</f>
        <v>0</v>
      </c>
      <c r="AO132" s="27" t="str">
        <f t="shared" ref="AO132:AO133" si="480">IF(AM132 &lt;&gt; 0,AN132/AM132,"")</f>
        <v/>
      </c>
    </row>
    <row r="133" spans="1:41" x14ac:dyDescent="0.3">
      <c r="A133" s="25"/>
      <c r="B133" s="5" t="s">
        <v>21</v>
      </c>
      <c r="C133" s="21">
        <f>C132</f>
        <v>1</v>
      </c>
      <c r="D133" s="21">
        <f>G133+J133+M133+P133+S133+V133+Y133+AB133+AE133+AH133+AK133+AN133</f>
        <v>1</v>
      </c>
      <c r="E133" s="27">
        <f t="shared" si="457"/>
        <v>1</v>
      </c>
      <c r="F133" s="21">
        <f>F132</f>
        <v>0</v>
      </c>
      <c r="G133" s="21">
        <f>COUNTIFS('Data-TED-1'!$AH:$AH,F$1,'Data-TED-1'!$T:$T,$B133)</f>
        <v>0</v>
      </c>
      <c r="H133" s="27" t="str">
        <f t="shared" si="458"/>
        <v/>
      </c>
      <c r="I133" s="21">
        <f>I132</f>
        <v>0</v>
      </c>
      <c r="J133" s="21">
        <f>COUNTIFS('Data-TED-1'!$AH:$AH,I$1,'Data-TED-1'!$T:$T,$B133)</f>
        <v>0</v>
      </c>
      <c r="K133" s="27" t="str">
        <f t="shared" si="470"/>
        <v/>
      </c>
      <c r="L133" s="21">
        <f>L132</f>
        <v>0</v>
      </c>
      <c r="M133" s="21">
        <f>COUNTIFS('Data-TED-1'!$AH:$AH,L$1,'Data-TED-1'!$T:$T,$B133)</f>
        <v>0</v>
      </c>
      <c r="N133" s="27" t="str">
        <f t="shared" si="471"/>
        <v/>
      </c>
      <c r="O133" s="21">
        <f>O132</f>
        <v>0</v>
      </c>
      <c r="P133" s="21">
        <f>COUNTIFS('Data-TED-1'!$AH:$AH,O$1,'Data-TED-1'!$T:$T,$B133)</f>
        <v>0</v>
      </c>
      <c r="Q133" s="27" t="str">
        <f t="shared" si="472"/>
        <v/>
      </c>
      <c r="R133" s="21">
        <f>R132</f>
        <v>0</v>
      </c>
      <c r="S133" s="21">
        <f>COUNTIFS('Data-TED-1'!$AH:$AH,R$1,'Data-TED-1'!$T:$T,$B133)</f>
        <v>0</v>
      </c>
      <c r="T133" s="27" t="str">
        <f t="shared" si="473"/>
        <v/>
      </c>
      <c r="U133" s="21">
        <f>U132</f>
        <v>0</v>
      </c>
      <c r="V133" s="21">
        <f>COUNTIFS('Data-TED-1'!$AH:$AH,U$1,'Data-TED-1'!$T:$T,$B133)</f>
        <v>0</v>
      </c>
      <c r="W133" s="27" t="str">
        <f t="shared" si="474"/>
        <v/>
      </c>
      <c r="X133" s="21">
        <f>X132</f>
        <v>0</v>
      </c>
      <c r="Y133" s="21">
        <f>COUNTIFS('Data-TED-1'!$AH:$AH,X$1,'Data-TED-1'!$T:$T,$B133)</f>
        <v>0</v>
      </c>
      <c r="Z133" s="27" t="str">
        <f t="shared" si="475"/>
        <v/>
      </c>
      <c r="AA133" s="21">
        <f>AA132</f>
        <v>0</v>
      </c>
      <c r="AB133" s="21">
        <f>COUNTIFS('Data-TED-1'!$AH:$AH,AA$1,'Data-TED-1'!$T:$T,$B133)</f>
        <v>0</v>
      </c>
      <c r="AC133" s="27" t="str">
        <f t="shared" si="476"/>
        <v/>
      </c>
      <c r="AD133" s="21">
        <f>AD132</f>
        <v>1</v>
      </c>
      <c r="AE133" s="21">
        <f>COUNTIFS('Data-TED-1'!$AH:$AH,AD$1,'Data-TED-1'!$T:$T,$B133)</f>
        <v>1</v>
      </c>
      <c r="AF133" s="27">
        <f t="shared" si="477"/>
        <v>1</v>
      </c>
      <c r="AG133" s="21">
        <f>AG132</f>
        <v>0</v>
      </c>
      <c r="AH133" s="21">
        <f>COUNTIFS('Data-TED-1'!$AH:$AH,AG$1,'Data-TED-1'!$T:$T,$B133)</f>
        <v>0</v>
      </c>
      <c r="AI133" s="27" t="str">
        <f t="shared" si="478"/>
        <v/>
      </c>
      <c r="AJ133" s="21">
        <f>AJ132</f>
        <v>0</v>
      </c>
      <c r="AK133" s="21">
        <f>COUNTIFS('Data-TED-1'!$AH:$AH,AJ$1,'Data-TED-1'!$T:$T,$B133)</f>
        <v>0</v>
      </c>
      <c r="AL133" s="27" t="str">
        <f t="shared" si="479"/>
        <v/>
      </c>
      <c r="AM133" s="21">
        <f>AM132</f>
        <v>0</v>
      </c>
      <c r="AN133" s="21">
        <f>COUNTIFS('Data-TED-1'!$AH:$AH,AM$1,'Data-TED-1'!$T:$T,$B133)</f>
        <v>0</v>
      </c>
      <c r="AO133" s="27" t="str">
        <f t="shared" si="480"/>
        <v/>
      </c>
    </row>
    <row r="134" spans="1:41" x14ac:dyDescent="0.3">
      <c r="A134" s="21" t="s">
        <v>57</v>
      </c>
      <c r="B134" s="22" t="s">
        <v>43</v>
      </c>
      <c r="C134" s="21"/>
      <c r="D134" s="21"/>
      <c r="E134" s="27"/>
      <c r="F134" s="21"/>
      <c r="G134" s="21"/>
      <c r="H134" s="27"/>
      <c r="I134" s="21"/>
      <c r="J134" s="21"/>
      <c r="K134" s="27"/>
      <c r="L134" s="21"/>
      <c r="M134" s="21"/>
      <c r="N134" s="27"/>
      <c r="O134" s="21"/>
      <c r="P134" s="21"/>
      <c r="Q134" s="27"/>
      <c r="R134" s="21"/>
      <c r="S134" s="21"/>
      <c r="T134" s="27"/>
      <c r="U134" s="21"/>
      <c r="V134" s="21"/>
      <c r="W134" s="27"/>
      <c r="X134" s="21"/>
      <c r="Y134" s="21"/>
      <c r="Z134" s="27"/>
      <c r="AA134" s="21"/>
      <c r="AB134" s="21"/>
      <c r="AC134" s="27"/>
      <c r="AD134" s="21"/>
      <c r="AE134" s="21"/>
      <c r="AF134" s="27"/>
      <c r="AG134" s="21"/>
      <c r="AH134" s="21"/>
      <c r="AI134" s="27"/>
      <c r="AJ134" s="21"/>
      <c r="AK134" s="21"/>
      <c r="AL134" s="27"/>
      <c r="AM134" s="21"/>
      <c r="AN134" s="21"/>
      <c r="AO134" s="27"/>
    </row>
    <row r="135" spans="1:41" x14ac:dyDescent="0.3">
      <c r="A135" s="25"/>
      <c r="B135" s="5" t="s">
        <v>51</v>
      </c>
      <c r="C135" s="21">
        <f>COUNTIF('Data-TED-1'!$U:$U,"&lt;&gt;" &amp; "")-1</f>
        <v>1</v>
      </c>
      <c r="D135" s="21">
        <f>G135+J135+M135+P135+S135+V135+Y135+AB135+AE135+AH135+AK135+AN135</f>
        <v>0</v>
      </c>
      <c r="E135" s="27">
        <f t="shared" si="457"/>
        <v>0</v>
      </c>
      <c r="F135" s="21">
        <f>COUNTIFS('Data-TED-1'!$AH:$AH,F$1,'Data-TED-1'!$U:$U,"&lt;&gt;" &amp; "")</f>
        <v>0</v>
      </c>
      <c r="G135" s="21">
        <f>COUNTIFS('Data-TED-1'!$AH:$AH,F$1,'Data-TED-1'!$U:$U,$B135)</f>
        <v>0</v>
      </c>
      <c r="H135" s="27" t="str">
        <f t="shared" si="458"/>
        <v/>
      </c>
      <c r="I135" s="21">
        <f>COUNTIFS('Data-TED-1'!$AH:$AH,I$1,'Data-TED-1'!$U:$U,"&lt;&gt;" &amp; "")</f>
        <v>0</v>
      </c>
      <c r="J135" s="21">
        <f>COUNTIFS('Data-TED-1'!$AH:$AH,I$1,'Data-TED-1'!$U:$U,$B135)</f>
        <v>0</v>
      </c>
      <c r="K135" s="27" t="str">
        <f t="shared" ref="K135:K136" si="481">IF(I135 &lt;&gt; 0,J135/I135,"")</f>
        <v/>
      </c>
      <c r="L135" s="21">
        <f>COUNTIFS('Data-TED-1'!$AH:$AH,L$1,'Data-TED-1'!$U:$U,"&lt;&gt;" &amp; "")</f>
        <v>0</v>
      </c>
      <c r="M135" s="21">
        <f>COUNTIFS('Data-TED-1'!$AH:$AH,L$1,'Data-TED-1'!$U:$U,$B135)</f>
        <v>0</v>
      </c>
      <c r="N135" s="27" t="str">
        <f t="shared" ref="N135:N136" si="482">IF(L135 &lt;&gt; 0,M135/L135,"")</f>
        <v/>
      </c>
      <c r="O135" s="21">
        <f>COUNTIFS('Data-TED-1'!$AH:$AH,O$1,'Data-TED-1'!$U:$U,"&lt;&gt;" &amp; "")</f>
        <v>0</v>
      </c>
      <c r="P135" s="21">
        <f>COUNTIFS('Data-TED-1'!$AH:$AH,O$1,'Data-TED-1'!$U:$U,$B135)</f>
        <v>0</v>
      </c>
      <c r="Q135" s="27" t="str">
        <f t="shared" ref="Q135:Q136" si="483">IF(O135 &lt;&gt; 0,P135/O135,"")</f>
        <v/>
      </c>
      <c r="R135" s="21">
        <f>COUNTIFS('Data-TED-1'!$AH:$AH,R$1,'Data-TED-1'!$U:$U,"&lt;&gt;" &amp; "")</f>
        <v>0</v>
      </c>
      <c r="S135" s="21">
        <f>COUNTIFS('Data-TED-1'!$AH:$AH,R$1,'Data-TED-1'!$U:$U,$B135)</f>
        <v>0</v>
      </c>
      <c r="T135" s="27" t="str">
        <f t="shared" ref="T135:T136" si="484">IF(R135 &lt;&gt; 0,S135/R135,"")</f>
        <v/>
      </c>
      <c r="U135" s="21">
        <f>COUNTIFS('Data-TED-1'!$AH:$AH,U$1,'Data-TED-1'!$U:$U,"&lt;&gt;" &amp; "")</f>
        <v>0</v>
      </c>
      <c r="V135" s="21">
        <f>COUNTIFS('Data-TED-1'!$AH:$AH,U$1,'Data-TED-1'!$U:$U,$B135)</f>
        <v>0</v>
      </c>
      <c r="W135" s="27" t="str">
        <f t="shared" ref="W135:W136" si="485">IF(U135 &lt;&gt; 0,V135/U135,"")</f>
        <v/>
      </c>
      <c r="X135" s="21">
        <f>COUNTIFS('Data-TED-1'!$AH:$AH,X$1,'Data-TED-1'!$U:$U,"&lt;&gt;" &amp; "")</f>
        <v>0</v>
      </c>
      <c r="Y135" s="21">
        <f>COUNTIFS('Data-TED-1'!$AH:$AH,X$1,'Data-TED-1'!$U:$U,$B135)</f>
        <v>0</v>
      </c>
      <c r="Z135" s="27" t="str">
        <f t="shared" ref="Z135:Z136" si="486">IF(X135 &lt;&gt; 0,Y135/X135,"")</f>
        <v/>
      </c>
      <c r="AA135" s="21">
        <f>COUNTIFS('Data-TED-1'!$AH:$AH,AA$1,'Data-TED-1'!$U:$U,"&lt;&gt;" &amp; "")</f>
        <v>0</v>
      </c>
      <c r="AB135" s="21">
        <f>COUNTIFS('Data-TED-1'!$AH:$AH,AA$1,'Data-TED-1'!$U:$U,$B135)</f>
        <v>0</v>
      </c>
      <c r="AC135" s="27" t="str">
        <f t="shared" ref="AC135:AC136" si="487">IF(AA135 &lt;&gt; 0,AB135/AA135,"")</f>
        <v/>
      </c>
      <c r="AD135" s="21">
        <f>COUNTIFS('Data-TED-1'!$AH:$AH,AD$1,'Data-TED-1'!$U:$U,"&lt;&gt;" &amp; "")</f>
        <v>1</v>
      </c>
      <c r="AE135" s="21">
        <f>COUNTIFS('Data-TED-1'!$AH:$AH,AD$1,'Data-TED-1'!$U:$U,$B135)</f>
        <v>0</v>
      </c>
      <c r="AF135" s="27">
        <f t="shared" ref="AF135:AF136" si="488">IF(AD135 &lt;&gt; 0,AE135/AD135,"")</f>
        <v>0</v>
      </c>
      <c r="AG135" s="21">
        <f>COUNTIFS('Data-TED-1'!$AH:$AH,AG$1,'Data-TED-1'!$U:$U,"&lt;&gt;" &amp; "")</f>
        <v>0</v>
      </c>
      <c r="AH135" s="21">
        <f>COUNTIFS('Data-TED-1'!$AH:$AH,AG$1,'Data-TED-1'!$U:$U,$B135)</f>
        <v>0</v>
      </c>
      <c r="AI135" s="27" t="str">
        <f t="shared" ref="AI135:AI136" si="489">IF(AG135 &lt;&gt; 0,AH135/AG135,"")</f>
        <v/>
      </c>
      <c r="AJ135" s="21">
        <f>COUNTIFS('Data-TED-1'!$AH:$AH,AJ$1,'Data-TED-1'!$U:$U,"&lt;&gt;" &amp; "")</f>
        <v>0</v>
      </c>
      <c r="AK135" s="21">
        <f>COUNTIFS('Data-TED-1'!$AH:$AH,AJ$1,'Data-TED-1'!$U:$U,$B135)</f>
        <v>0</v>
      </c>
      <c r="AL135" s="27" t="str">
        <f t="shared" ref="AL135:AL136" si="490">IF(AJ135 &lt;&gt; 0,AK135/AJ135,"")</f>
        <v/>
      </c>
      <c r="AM135" s="21">
        <f>COUNTIFS('Data-TED-1'!$AH:$AH,AM$1,'Data-TED-1'!$U:$U,"&lt;&gt;" &amp; "")</f>
        <v>0</v>
      </c>
      <c r="AN135" s="21">
        <f>COUNTIFS('Data-TED-1'!$AH:$AH,AM$1,'Data-TED-1'!$U:$U,$B135)</f>
        <v>0</v>
      </c>
      <c r="AO135" s="27" t="str">
        <f t="shared" ref="AO135:AO136" si="491">IF(AM135 &lt;&gt; 0,AN135/AM135,"")</f>
        <v/>
      </c>
    </row>
    <row r="136" spans="1:41" x14ac:dyDescent="0.3">
      <c r="A136" s="25"/>
      <c r="B136" s="5" t="s">
        <v>21</v>
      </c>
      <c r="C136" s="21">
        <f>C135</f>
        <v>1</v>
      </c>
      <c r="D136" s="21">
        <f>G136+J136+M136+P136+S136+V136+Y136+AB136+AE136+AH136+AK136+AN136</f>
        <v>1</v>
      </c>
      <c r="E136" s="27">
        <f t="shared" si="457"/>
        <v>1</v>
      </c>
      <c r="F136" s="21">
        <f>F135</f>
        <v>0</v>
      </c>
      <c r="G136" s="21">
        <f>COUNTIFS('Data-TED-1'!$AH:$AH,F$1,'Data-TED-1'!$U:$U,$B136)</f>
        <v>0</v>
      </c>
      <c r="H136" s="27" t="str">
        <f t="shared" si="458"/>
        <v/>
      </c>
      <c r="I136" s="21">
        <f>I135</f>
        <v>0</v>
      </c>
      <c r="J136" s="21">
        <f>COUNTIFS('Data-TED-1'!$AH:$AH,I$1,'Data-TED-1'!$U:$U,$B136)</f>
        <v>0</v>
      </c>
      <c r="K136" s="27" t="str">
        <f t="shared" si="481"/>
        <v/>
      </c>
      <c r="L136" s="21">
        <f>L135</f>
        <v>0</v>
      </c>
      <c r="M136" s="21">
        <f>COUNTIFS('Data-TED-1'!$AH:$AH,L$1,'Data-TED-1'!$U:$U,$B136)</f>
        <v>0</v>
      </c>
      <c r="N136" s="27" t="str">
        <f t="shared" si="482"/>
        <v/>
      </c>
      <c r="O136" s="21">
        <f>O135</f>
        <v>0</v>
      </c>
      <c r="P136" s="21">
        <f>COUNTIFS('Data-TED-1'!$AH:$AH,O$1,'Data-TED-1'!$U:$U,$B136)</f>
        <v>0</v>
      </c>
      <c r="Q136" s="27" t="str">
        <f t="shared" si="483"/>
        <v/>
      </c>
      <c r="R136" s="21">
        <f>R135</f>
        <v>0</v>
      </c>
      <c r="S136" s="21">
        <f>COUNTIFS('Data-TED-1'!$AH:$AH,R$1,'Data-TED-1'!$U:$U,$B136)</f>
        <v>0</v>
      </c>
      <c r="T136" s="27" t="str">
        <f t="shared" si="484"/>
        <v/>
      </c>
      <c r="U136" s="21">
        <f>U135</f>
        <v>0</v>
      </c>
      <c r="V136" s="21">
        <f>COUNTIFS('Data-TED-1'!$AH:$AH,U$1,'Data-TED-1'!$U:$U,$B136)</f>
        <v>0</v>
      </c>
      <c r="W136" s="27" t="str">
        <f t="shared" si="485"/>
        <v/>
      </c>
      <c r="X136" s="21">
        <f>X135</f>
        <v>0</v>
      </c>
      <c r="Y136" s="21">
        <f>COUNTIFS('Data-TED-1'!$AH:$AH,X$1,'Data-TED-1'!$U:$U,$B136)</f>
        <v>0</v>
      </c>
      <c r="Z136" s="27" t="str">
        <f t="shared" si="486"/>
        <v/>
      </c>
      <c r="AA136" s="21">
        <f>AA135</f>
        <v>0</v>
      </c>
      <c r="AB136" s="21">
        <f>COUNTIFS('Data-TED-1'!$AH:$AH,AA$1,'Data-TED-1'!$U:$U,$B136)</f>
        <v>0</v>
      </c>
      <c r="AC136" s="27" t="str">
        <f t="shared" si="487"/>
        <v/>
      </c>
      <c r="AD136" s="21">
        <f>AD135</f>
        <v>1</v>
      </c>
      <c r="AE136" s="21">
        <f>COUNTIFS('Data-TED-1'!$AH:$AH,AD$1,'Data-TED-1'!$U:$U,$B136)</f>
        <v>1</v>
      </c>
      <c r="AF136" s="27">
        <f t="shared" si="488"/>
        <v>1</v>
      </c>
      <c r="AG136" s="21">
        <f>AG135</f>
        <v>0</v>
      </c>
      <c r="AH136" s="21">
        <f>COUNTIFS('Data-TED-1'!$AH:$AH,AG$1,'Data-TED-1'!$U:$U,$B136)</f>
        <v>0</v>
      </c>
      <c r="AI136" s="27" t="str">
        <f t="shared" si="489"/>
        <v/>
      </c>
      <c r="AJ136" s="21">
        <f>AJ135</f>
        <v>0</v>
      </c>
      <c r="AK136" s="21">
        <f>COUNTIFS('Data-TED-1'!$AH:$AH,AJ$1,'Data-TED-1'!$U:$U,$B136)</f>
        <v>0</v>
      </c>
      <c r="AL136" s="27" t="str">
        <f t="shared" si="490"/>
        <v/>
      </c>
      <c r="AM136" s="21">
        <f>AM135</f>
        <v>0</v>
      </c>
      <c r="AN136" s="21">
        <f>COUNTIFS('Data-TED-1'!$AH:$AH,AM$1,'Data-TED-1'!$U:$U,$B136)</f>
        <v>0</v>
      </c>
      <c r="AO136" s="27" t="str">
        <f t="shared" si="491"/>
        <v/>
      </c>
    </row>
    <row r="137" spans="1:41" x14ac:dyDescent="0.3">
      <c r="A137" s="21" t="s">
        <v>58</v>
      </c>
      <c r="B137" s="22" t="s">
        <v>44</v>
      </c>
      <c r="C137" s="21"/>
      <c r="D137" s="21"/>
      <c r="E137" s="27"/>
      <c r="F137" s="21"/>
      <c r="G137" s="21"/>
      <c r="H137" s="27"/>
      <c r="I137" s="21"/>
      <c r="J137" s="21"/>
      <c r="K137" s="27"/>
      <c r="L137" s="21"/>
      <c r="M137" s="21"/>
      <c r="N137" s="27"/>
      <c r="O137" s="21"/>
      <c r="P137" s="21"/>
      <c r="Q137" s="27"/>
      <c r="R137" s="21"/>
      <c r="S137" s="21"/>
      <c r="T137" s="27"/>
      <c r="U137" s="21"/>
      <c r="V137" s="21"/>
      <c r="W137" s="27"/>
      <c r="X137" s="21"/>
      <c r="Y137" s="21"/>
      <c r="Z137" s="27"/>
      <c r="AA137" s="21"/>
      <c r="AB137" s="21"/>
      <c r="AC137" s="27"/>
      <c r="AD137" s="21"/>
      <c r="AE137" s="21"/>
      <c r="AF137" s="27"/>
      <c r="AG137" s="21"/>
      <c r="AH137" s="21"/>
      <c r="AI137" s="27"/>
      <c r="AJ137" s="21"/>
      <c r="AK137" s="21"/>
      <c r="AL137" s="27"/>
      <c r="AM137" s="21"/>
      <c r="AN137" s="21"/>
      <c r="AO137" s="27"/>
    </row>
    <row r="138" spans="1:41" x14ac:dyDescent="0.3">
      <c r="A138" s="25"/>
      <c r="B138" s="5" t="s">
        <v>51</v>
      </c>
      <c r="C138" s="21">
        <f>COUNTIF('Data-TED-1'!$V:$V,"&lt;&gt;" &amp; "")-1</f>
        <v>1</v>
      </c>
      <c r="D138" s="21">
        <f>G138+J138+M138+P138+S138+V138+Y138+AB138+AE138+AH138+AK138+AN138</f>
        <v>0</v>
      </c>
      <c r="E138" s="27">
        <f t="shared" si="457"/>
        <v>0</v>
      </c>
      <c r="F138" s="21">
        <f>COUNTIFS('Data-TED-1'!$AH:$AH,F$1,'Data-TED-1'!$V:$V,"&lt;&gt;" &amp; "")</f>
        <v>0</v>
      </c>
      <c r="G138" s="21">
        <f>COUNTIFS('Data-TED-1'!$AH:$AH,F$1,'Data-TED-1'!$V:$V,$B138)</f>
        <v>0</v>
      </c>
      <c r="H138" s="27" t="str">
        <f t="shared" si="458"/>
        <v/>
      </c>
      <c r="I138" s="21">
        <f>COUNTIFS('Data-TED-1'!$AH:$AH,I$1,'Data-TED-1'!$V:$V,"&lt;&gt;" &amp; "")</f>
        <v>0</v>
      </c>
      <c r="J138" s="21">
        <f>COUNTIFS('Data-TED-1'!$AH:$AH,I$1,'Data-TED-1'!$V:$V,$B138)</f>
        <v>0</v>
      </c>
      <c r="K138" s="27" t="str">
        <f t="shared" ref="K138:K139" si="492">IF(I138 &lt;&gt; 0,J138/I138,"")</f>
        <v/>
      </c>
      <c r="L138" s="21">
        <f>COUNTIFS('Data-TED-1'!$AH:$AH,L$1,'Data-TED-1'!$V:$V,"&lt;&gt;" &amp; "")</f>
        <v>0</v>
      </c>
      <c r="M138" s="21">
        <f>COUNTIFS('Data-TED-1'!$AH:$AH,L$1,'Data-TED-1'!$V:$V,$B138)</f>
        <v>0</v>
      </c>
      <c r="N138" s="27" t="str">
        <f t="shared" ref="N138:N139" si="493">IF(L138 &lt;&gt; 0,M138/L138,"")</f>
        <v/>
      </c>
      <c r="O138" s="21">
        <f>COUNTIFS('Data-TED-1'!$AH:$AH,O$1,'Data-TED-1'!$V:$V,"&lt;&gt;" &amp; "")</f>
        <v>0</v>
      </c>
      <c r="P138" s="21">
        <f>COUNTIFS('Data-TED-1'!$AH:$AH,O$1,'Data-TED-1'!$V:$V,$B138)</f>
        <v>0</v>
      </c>
      <c r="Q138" s="27" t="str">
        <f t="shared" ref="Q138:Q139" si="494">IF(O138 &lt;&gt; 0,P138/O138,"")</f>
        <v/>
      </c>
      <c r="R138" s="21">
        <f>COUNTIFS('Data-TED-1'!$AH:$AH,R$1,'Data-TED-1'!$V:$V,"&lt;&gt;" &amp; "")</f>
        <v>0</v>
      </c>
      <c r="S138" s="21">
        <f>COUNTIFS('Data-TED-1'!$AH:$AH,R$1,'Data-TED-1'!$V:$V,$B138)</f>
        <v>0</v>
      </c>
      <c r="T138" s="27" t="str">
        <f t="shared" ref="T138:T139" si="495">IF(R138 &lt;&gt; 0,S138/R138,"")</f>
        <v/>
      </c>
      <c r="U138" s="21">
        <f>COUNTIFS('Data-TED-1'!$AH:$AH,U$1,'Data-TED-1'!$V:$V,"&lt;&gt;" &amp; "")</f>
        <v>0</v>
      </c>
      <c r="V138" s="21">
        <f>COUNTIFS('Data-TED-1'!$AH:$AH,U$1,'Data-TED-1'!$V:$V,$B138)</f>
        <v>0</v>
      </c>
      <c r="W138" s="27" t="str">
        <f t="shared" ref="W138:W139" si="496">IF(U138 &lt;&gt; 0,V138/U138,"")</f>
        <v/>
      </c>
      <c r="X138" s="21">
        <f>COUNTIFS('Data-TED-1'!$AH:$AH,X$1,'Data-TED-1'!$V:$V,"&lt;&gt;" &amp; "")</f>
        <v>0</v>
      </c>
      <c r="Y138" s="21">
        <f>COUNTIFS('Data-TED-1'!$AH:$AH,X$1,'Data-TED-1'!$V:$V,$B138)</f>
        <v>0</v>
      </c>
      <c r="Z138" s="27" t="str">
        <f t="shared" ref="Z138:Z139" si="497">IF(X138 &lt;&gt; 0,Y138/X138,"")</f>
        <v/>
      </c>
      <c r="AA138" s="21">
        <f>COUNTIFS('Data-TED-1'!$AH:$AH,AA$1,'Data-TED-1'!$V:$V,"&lt;&gt;" &amp; "")</f>
        <v>0</v>
      </c>
      <c r="AB138" s="21">
        <f>COUNTIFS('Data-TED-1'!$AH:$AH,AA$1,'Data-TED-1'!$V:$V,$B138)</f>
        <v>0</v>
      </c>
      <c r="AC138" s="27" t="str">
        <f t="shared" ref="AC138:AC139" si="498">IF(AA138 &lt;&gt; 0,AB138/AA138,"")</f>
        <v/>
      </c>
      <c r="AD138" s="21">
        <f>COUNTIFS('Data-TED-1'!$AH:$AH,AD$1,'Data-TED-1'!$V:$V,"&lt;&gt;" &amp; "")</f>
        <v>1</v>
      </c>
      <c r="AE138" s="21">
        <f>COUNTIFS('Data-TED-1'!$AH:$AH,AD$1,'Data-TED-1'!$V:$V,$B138)</f>
        <v>0</v>
      </c>
      <c r="AF138" s="27">
        <f t="shared" ref="AF138:AF139" si="499">IF(AD138 &lt;&gt; 0,AE138/AD138,"")</f>
        <v>0</v>
      </c>
      <c r="AG138" s="21">
        <f>COUNTIFS('Data-TED-1'!$AH:$AH,AG$1,'Data-TED-1'!$V:$V,"&lt;&gt;" &amp; "")</f>
        <v>0</v>
      </c>
      <c r="AH138" s="21">
        <f>COUNTIFS('Data-TED-1'!$AH:$AH,AG$1,'Data-TED-1'!$V:$V,$B138)</f>
        <v>0</v>
      </c>
      <c r="AI138" s="27" t="str">
        <f t="shared" ref="AI138:AI139" si="500">IF(AG138 &lt;&gt; 0,AH138/AG138,"")</f>
        <v/>
      </c>
      <c r="AJ138" s="21">
        <f>COUNTIFS('Data-TED-1'!$AH:$AH,AJ$1,'Data-TED-1'!$V:$V,"&lt;&gt;" &amp; "")</f>
        <v>0</v>
      </c>
      <c r="AK138" s="21">
        <f>COUNTIFS('Data-TED-1'!$AH:$AH,AJ$1,'Data-TED-1'!$V:$V,$B138)</f>
        <v>0</v>
      </c>
      <c r="AL138" s="27" t="str">
        <f t="shared" ref="AL138:AL139" si="501">IF(AJ138 &lt;&gt; 0,AK138/AJ138,"")</f>
        <v/>
      </c>
      <c r="AM138" s="21">
        <f>COUNTIFS('Data-TED-1'!$AH:$AH,AM$1,'Data-TED-1'!$V:$V,"&lt;&gt;" &amp; "")</f>
        <v>0</v>
      </c>
      <c r="AN138" s="21">
        <f>COUNTIFS('Data-TED-1'!$AH:$AH,AM$1,'Data-TED-1'!$V:$V,$B138)</f>
        <v>0</v>
      </c>
      <c r="AO138" s="27" t="str">
        <f t="shared" ref="AO138:AO139" si="502">IF(AM138 &lt;&gt; 0,AN138/AM138,"")</f>
        <v/>
      </c>
    </row>
    <row r="139" spans="1:41" x14ac:dyDescent="0.3">
      <c r="A139" s="25"/>
      <c r="B139" s="5" t="s">
        <v>21</v>
      </c>
      <c r="C139" s="21">
        <f>C138</f>
        <v>1</v>
      </c>
      <c r="D139" s="21">
        <f>G139+J139+M139+P139+S139+V139+Y139+AB139+AE139+AH139+AK139+AN139</f>
        <v>1</v>
      </c>
      <c r="E139" s="27">
        <f t="shared" si="457"/>
        <v>1</v>
      </c>
      <c r="F139" s="21">
        <f>F138</f>
        <v>0</v>
      </c>
      <c r="G139" s="21">
        <f>COUNTIFS('Data-TED-1'!$AH:$AH,F$1,'Data-TED-1'!$V:$V,$B139)</f>
        <v>0</v>
      </c>
      <c r="H139" s="27" t="str">
        <f t="shared" si="458"/>
        <v/>
      </c>
      <c r="I139" s="21">
        <f>I138</f>
        <v>0</v>
      </c>
      <c r="J139" s="21">
        <f>COUNTIFS('Data-TED-1'!$AH:$AH,I$1,'Data-TED-1'!$V:$V,$B139)</f>
        <v>0</v>
      </c>
      <c r="K139" s="27" t="str">
        <f t="shared" si="492"/>
        <v/>
      </c>
      <c r="L139" s="21">
        <f>L138</f>
        <v>0</v>
      </c>
      <c r="M139" s="21">
        <f>COUNTIFS('Data-TED-1'!$AH:$AH,L$1,'Data-TED-1'!$V:$V,$B139)</f>
        <v>0</v>
      </c>
      <c r="N139" s="27" t="str">
        <f t="shared" si="493"/>
        <v/>
      </c>
      <c r="O139" s="21">
        <f>O138</f>
        <v>0</v>
      </c>
      <c r="P139" s="21">
        <f>COUNTIFS('Data-TED-1'!$AH:$AH,O$1,'Data-TED-1'!$V:$V,$B139)</f>
        <v>0</v>
      </c>
      <c r="Q139" s="27" t="str">
        <f t="shared" si="494"/>
        <v/>
      </c>
      <c r="R139" s="21">
        <f>R138</f>
        <v>0</v>
      </c>
      <c r="S139" s="21">
        <f>COUNTIFS('Data-TED-1'!$AH:$AH,R$1,'Data-TED-1'!$V:$V,$B139)</f>
        <v>0</v>
      </c>
      <c r="T139" s="27" t="str">
        <f t="shared" si="495"/>
        <v/>
      </c>
      <c r="U139" s="21">
        <f>U138</f>
        <v>0</v>
      </c>
      <c r="V139" s="21">
        <f>COUNTIFS('Data-TED-1'!$AH:$AH,U$1,'Data-TED-1'!$V:$V,$B139)</f>
        <v>0</v>
      </c>
      <c r="W139" s="27" t="str">
        <f t="shared" si="496"/>
        <v/>
      </c>
      <c r="X139" s="21">
        <f>X138</f>
        <v>0</v>
      </c>
      <c r="Y139" s="21">
        <f>COUNTIFS('Data-TED-1'!$AH:$AH,X$1,'Data-TED-1'!$V:$V,$B139)</f>
        <v>0</v>
      </c>
      <c r="Z139" s="27" t="str">
        <f t="shared" si="497"/>
        <v/>
      </c>
      <c r="AA139" s="21">
        <f>AA138</f>
        <v>0</v>
      </c>
      <c r="AB139" s="21">
        <f>COUNTIFS('Data-TED-1'!$AH:$AH,AA$1,'Data-TED-1'!$V:$V,$B139)</f>
        <v>0</v>
      </c>
      <c r="AC139" s="27" t="str">
        <f t="shared" si="498"/>
        <v/>
      </c>
      <c r="AD139" s="21">
        <f>AD138</f>
        <v>1</v>
      </c>
      <c r="AE139" s="21">
        <f>COUNTIFS('Data-TED-1'!$AH:$AH,AD$1,'Data-TED-1'!$V:$V,$B139)</f>
        <v>1</v>
      </c>
      <c r="AF139" s="27">
        <f t="shared" si="499"/>
        <v>1</v>
      </c>
      <c r="AG139" s="21">
        <f>AG138</f>
        <v>0</v>
      </c>
      <c r="AH139" s="21">
        <f>COUNTIFS('Data-TED-1'!$AH:$AH,AG$1,'Data-TED-1'!$V:$V,$B139)</f>
        <v>0</v>
      </c>
      <c r="AI139" s="27" t="str">
        <f t="shared" si="500"/>
        <v/>
      </c>
      <c r="AJ139" s="21">
        <f>AJ138</f>
        <v>0</v>
      </c>
      <c r="AK139" s="21">
        <f>COUNTIFS('Data-TED-1'!$AH:$AH,AJ$1,'Data-TED-1'!$V:$V,$B139)</f>
        <v>0</v>
      </c>
      <c r="AL139" s="27" t="str">
        <f t="shared" si="501"/>
        <v/>
      </c>
      <c r="AM139" s="21">
        <f>AM138</f>
        <v>0</v>
      </c>
      <c r="AN139" s="21">
        <f>COUNTIFS('Data-TED-1'!$AH:$AH,AM$1,'Data-TED-1'!$V:$V,$B139)</f>
        <v>0</v>
      </c>
      <c r="AO139" s="27" t="str">
        <f t="shared" si="502"/>
        <v/>
      </c>
    </row>
    <row r="140" spans="1:41" x14ac:dyDescent="0.3">
      <c r="A140" s="21" t="s">
        <v>59</v>
      </c>
      <c r="B140" s="22" t="s">
        <v>45</v>
      </c>
      <c r="C140" s="21"/>
      <c r="D140" s="21"/>
      <c r="E140" s="27"/>
      <c r="F140" s="21"/>
      <c r="G140" s="21"/>
      <c r="H140" s="27"/>
      <c r="I140" s="21"/>
      <c r="J140" s="21"/>
      <c r="K140" s="27"/>
      <c r="L140" s="21"/>
      <c r="M140" s="21"/>
      <c r="N140" s="27"/>
      <c r="O140" s="21"/>
      <c r="P140" s="21"/>
      <c r="Q140" s="27"/>
      <c r="R140" s="21"/>
      <c r="S140" s="21"/>
      <c r="T140" s="27"/>
      <c r="U140" s="21"/>
      <c r="V140" s="21"/>
      <c r="W140" s="27"/>
      <c r="X140" s="21"/>
      <c r="Y140" s="21"/>
      <c r="Z140" s="27"/>
      <c r="AA140" s="21"/>
      <c r="AB140" s="21"/>
      <c r="AC140" s="27"/>
      <c r="AD140" s="21"/>
      <c r="AE140" s="21"/>
      <c r="AF140" s="27"/>
      <c r="AG140" s="21"/>
      <c r="AH140" s="21"/>
      <c r="AI140" s="27"/>
      <c r="AJ140" s="21"/>
      <c r="AK140" s="21"/>
      <c r="AL140" s="27"/>
      <c r="AM140" s="21"/>
      <c r="AN140" s="21"/>
      <c r="AO140" s="27"/>
    </row>
    <row r="141" spans="1:41" x14ac:dyDescent="0.3">
      <c r="A141" s="25"/>
      <c r="B141" s="5" t="s">
        <v>51</v>
      </c>
      <c r="C141" s="21">
        <f>COUNTIF('Data-TED-1'!$W:$W,"&lt;&gt;" &amp; "")-1</f>
        <v>1</v>
      </c>
      <c r="D141" s="21">
        <f>G141+J141+M141+P141+S141+V141+Y141+AB141+AE141+AH141+AK141+AN141</f>
        <v>0</v>
      </c>
      <c r="E141" s="27">
        <f t="shared" si="457"/>
        <v>0</v>
      </c>
      <c r="F141" s="21">
        <f>COUNTIFS('Data-TED-1'!$AH:$AH,F$1,'Data-TED-1'!$W:$W,"&lt;&gt;" &amp; "")</f>
        <v>0</v>
      </c>
      <c r="G141" s="21">
        <f>COUNTIFS('Data-TED-1'!$AH:$AH,F$1,'Data-TED-1'!$W:$W,$B141)</f>
        <v>0</v>
      </c>
      <c r="H141" s="27" t="str">
        <f t="shared" si="458"/>
        <v/>
      </c>
      <c r="I141" s="21">
        <f>COUNTIFS('Data-TED-1'!$AH:$AH,I$1,'Data-TED-1'!$W:$W,"&lt;&gt;" &amp; "")</f>
        <v>0</v>
      </c>
      <c r="J141" s="21">
        <f>COUNTIFS('Data-TED-1'!$AH:$AH,I$1,'Data-TED-1'!$W:$W,$B141)</f>
        <v>0</v>
      </c>
      <c r="K141" s="27" t="str">
        <f t="shared" ref="K141:K142" si="503">IF(I141 &lt;&gt; 0,J141/I141,"")</f>
        <v/>
      </c>
      <c r="L141" s="21">
        <f>COUNTIFS('Data-TED-1'!$AH:$AH,L$1,'Data-TED-1'!$W:$W,"&lt;&gt;" &amp; "")</f>
        <v>0</v>
      </c>
      <c r="M141" s="21">
        <f>COUNTIFS('Data-TED-1'!$AH:$AH,L$1,'Data-TED-1'!$W:$W,$B141)</f>
        <v>0</v>
      </c>
      <c r="N141" s="27" t="str">
        <f t="shared" ref="N141:N142" si="504">IF(L141 &lt;&gt; 0,M141/L141,"")</f>
        <v/>
      </c>
      <c r="O141" s="21">
        <f>COUNTIFS('Data-TED-1'!$AH:$AH,O$1,'Data-TED-1'!$W:$W,"&lt;&gt;" &amp; "")</f>
        <v>0</v>
      </c>
      <c r="P141" s="21">
        <f>COUNTIFS('Data-TED-1'!$AH:$AH,O$1,'Data-TED-1'!$W:$W,$B141)</f>
        <v>0</v>
      </c>
      <c r="Q141" s="27" t="str">
        <f t="shared" ref="Q141:Q142" si="505">IF(O141 &lt;&gt; 0,P141/O141,"")</f>
        <v/>
      </c>
      <c r="R141" s="21">
        <f>COUNTIFS('Data-TED-1'!$AH:$AH,R$1,'Data-TED-1'!$W:$W,"&lt;&gt;" &amp; "")</f>
        <v>0</v>
      </c>
      <c r="S141" s="21">
        <f>COUNTIFS('Data-TED-1'!$AH:$AH,R$1,'Data-TED-1'!$W:$W,$B141)</f>
        <v>0</v>
      </c>
      <c r="T141" s="27" t="str">
        <f t="shared" ref="T141:T142" si="506">IF(R141 &lt;&gt; 0,S141/R141,"")</f>
        <v/>
      </c>
      <c r="U141" s="21">
        <f>COUNTIFS('Data-TED-1'!$AH:$AH,U$1,'Data-TED-1'!$W:$W,"&lt;&gt;" &amp; "")</f>
        <v>0</v>
      </c>
      <c r="V141" s="21">
        <f>COUNTIFS('Data-TED-1'!$AH:$AH,U$1,'Data-TED-1'!$W:$W,$B141)</f>
        <v>0</v>
      </c>
      <c r="W141" s="27" t="str">
        <f t="shared" ref="W141:W142" si="507">IF(U141 &lt;&gt; 0,V141/U141,"")</f>
        <v/>
      </c>
      <c r="X141" s="21">
        <f>COUNTIFS('Data-TED-1'!$AH:$AH,X$1,'Data-TED-1'!$W:$W,"&lt;&gt;" &amp; "")</f>
        <v>0</v>
      </c>
      <c r="Y141" s="21">
        <f>COUNTIFS('Data-TED-1'!$AH:$AH,X$1,'Data-TED-1'!$W:$W,$B141)</f>
        <v>0</v>
      </c>
      <c r="Z141" s="27" t="str">
        <f t="shared" ref="Z141:Z142" si="508">IF(X141 &lt;&gt; 0,Y141/X141,"")</f>
        <v/>
      </c>
      <c r="AA141" s="21">
        <f>COUNTIFS('Data-TED-1'!$AH:$AH,AA$1,'Data-TED-1'!$W:$W,"&lt;&gt;" &amp; "")</f>
        <v>0</v>
      </c>
      <c r="AB141" s="21">
        <f>COUNTIFS('Data-TED-1'!$AH:$AH,AA$1,'Data-TED-1'!$W:$W,$B141)</f>
        <v>0</v>
      </c>
      <c r="AC141" s="27" t="str">
        <f t="shared" ref="AC141:AC142" si="509">IF(AA141 &lt;&gt; 0,AB141/AA141,"")</f>
        <v/>
      </c>
      <c r="AD141" s="21">
        <f>COUNTIFS('Data-TED-1'!$AH:$AH,AD$1,'Data-TED-1'!$W:$W,"&lt;&gt;" &amp; "")</f>
        <v>1</v>
      </c>
      <c r="AE141" s="21">
        <f>COUNTIFS('Data-TED-1'!$AH:$AH,AD$1,'Data-TED-1'!$W:$W,$B141)</f>
        <v>0</v>
      </c>
      <c r="AF141" s="27">
        <f t="shared" ref="AF141:AF142" si="510">IF(AD141 &lt;&gt; 0,AE141/AD141,"")</f>
        <v>0</v>
      </c>
      <c r="AG141" s="21">
        <f>COUNTIFS('Data-TED-1'!$AH:$AH,AG$1,'Data-TED-1'!$W:$W,"&lt;&gt;" &amp; "")</f>
        <v>0</v>
      </c>
      <c r="AH141" s="21">
        <f>COUNTIFS('Data-TED-1'!$AH:$AH,AG$1,'Data-TED-1'!$W:$W,$B141)</f>
        <v>0</v>
      </c>
      <c r="AI141" s="27" t="str">
        <f t="shared" ref="AI141:AI142" si="511">IF(AG141 &lt;&gt; 0,AH141/AG141,"")</f>
        <v/>
      </c>
      <c r="AJ141" s="21">
        <f>COUNTIFS('Data-TED-1'!$AH:$AH,AJ$1,'Data-TED-1'!$W:$W,"&lt;&gt;" &amp; "")</f>
        <v>0</v>
      </c>
      <c r="AK141" s="21">
        <f>COUNTIFS('Data-TED-1'!$AH:$AH,AJ$1,'Data-TED-1'!$W:$W,$B141)</f>
        <v>0</v>
      </c>
      <c r="AL141" s="27" t="str">
        <f t="shared" ref="AL141:AL142" si="512">IF(AJ141 &lt;&gt; 0,AK141/AJ141,"")</f>
        <v/>
      </c>
      <c r="AM141" s="21">
        <f>COUNTIFS('Data-TED-1'!$AH:$AH,AM$1,'Data-TED-1'!$W:$W,"&lt;&gt;" &amp; "")</f>
        <v>0</v>
      </c>
      <c r="AN141" s="21">
        <f>COUNTIFS('Data-TED-1'!$AH:$AH,AM$1,'Data-TED-1'!$W:$W,$B141)</f>
        <v>0</v>
      </c>
      <c r="AO141" s="27" t="str">
        <f t="shared" ref="AO141:AO142" si="513">IF(AM141 &lt;&gt; 0,AN141/AM141,"")</f>
        <v/>
      </c>
    </row>
    <row r="142" spans="1:41" x14ac:dyDescent="0.3">
      <c r="A142" s="25"/>
      <c r="B142" s="5" t="s">
        <v>21</v>
      </c>
      <c r="C142" s="21">
        <f>C141</f>
        <v>1</v>
      </c>
      <c r="D142" s="21">
        <f>G142+J142+M142+P142+S142+V142+Y142+AB142+AE142+AH142+AK142+AN142</f>
        <v>1</v>
      </c>
      <c r="E142" s="27">
        <f t="shared" si="457"/>
        <v>1</v>
      </c>
      <c r="F142" s="21">
        <f>F141</f>
        <v>0</v>
      </c>
      <c r="G142" s="21">
        <f>COUNTIFS('Data-TED-1'!$AH:$AH,F$1,'Data-TED-1'!$W:$W,$B142)</f>
        <v>0</v>
      </c>
      <c r="H142" s="27" t="str">
        <f t="shared" si="458"/>
        <v/>
      </c>
      <c r="I142" s="21">
        <f>I141</f>
        <v>0</v>
      </c>
      <c r="J142" s="21">
        <f>COUNTIFS('Data-TED-1'!$AH:$AH,I$1,'Data-TED-1'!$W:$W,$B142)</f>
        <v>0</v>
      </c>
      <c r="K142" s="27" t="str">
        <f t="shared" si="503"/>
        <v/>
      </c>
      <c r="L142" s="21">
        <f>L141</f>
        <v>0</v>
      </c>
      <c r="M142" s="21">
        <f>COUNTIFS('Data-TED-1'!$AH:$AH,L$1,'Data-TED-1'!$W:$W,$B142)</f>
        <v>0</v>
      </c>
      <c r="N142" s="27" t="str">
        <f t="shared" si="504"/>
        <v/>
      </c>
      <c r="O142" s="21">
        <f>O141</f>
        <v>0</v>
      </c>
      <c r="P142" s="21">
        <f>COUNTIFS('Data-TED-1'!$AH:$AH,O$1,'Data-TED-1'!$W:$W,$B142)</f>
        <v>0</v>
      </c>
      <c r="Q142" s="27" t="str">
        <f t="shared" si="505"/>
        <v/>
      </c>
      <c r="R142" s="21">
        <f>R141</f>
        <v>0</v>
      </c>
      <c r="S142" s="21">
        <f>COUNTIFS('Data-TED-1'!$AH:$AH,R$1,'Data-TED-1'!$W:$W,$B142)</f>
        <v>0</v>
      </c>
      <c r="T142" s="27" t="str">
        <f t="shared" si="506"/>
        <v/>
      </c>
      <c r="U142" s="21">
        <f>U141</f>
        <v>0</v>
      </c>
      <c r="V142" s="21">
        <f>COUNTIFS('Data-TED-1'!$AH:$AH,U$1,'Data-TED-1'!$W:$W,$B142)</f>
        <v>0</v>
      </c>
      <c r="W142" s="27" t="str">
        <f t="shared" si="507"/>
        <v/>
      </c>
      <c r="X142" s="21">
        <f>X141</f>
        <v>0</v>
      </c>
      <c r="Y142" s="21">
        <f>COUNTIFS('Data-TED-1'!$AH:$AH,X$1,'Data-TED-1'!$W:$W,$B142)</f>
        <v>0</v>
      </c>
      <c r="Z142" s="27" t="str">
        <f t="shared" si="508"/>
        <v/>
      </c>
      <c r="AA142" s="21">
        <f>AA141</f>
        <v>0</v>
      </c>
      <c r="AB142" s="21">
        <f>COUNTIFS('Data-TED-1'!$AH:$AH,AA$1,'Data-TED-1'!$W:$W,$B142)</f>
        <v>0</v>
      </c>
      <c r="AC142" s="27" t="str">
        <f t="shared" si="509"/>
        <v/>
      </c>
      <c r="AD142" s="21">
        <f>AD141</f>
        <v>1</v>
      </c>
      <c r="AE142" s="21">
        <f>COUNTIFS('Data-TED-1'!$AH:$AH,AD$1,'Data-TED-1'!$W:$W,$B142)</f>
        <v>1</v>
      </c>
      <c r="AF142" s="27">
        <f t="shared" si="510"/>
        <v>1</v>
      </c>
      <c r="AG142" s="21">
        <f>AG141</f>
        <v>0</v>
      </c>
      <c r="AH142" s="21">
        <f>COUNTIFS('Data-TED-1'!$AH:$AH,AG$1,'Data-TED-1'!$W:$W,$B142)</f>
        <v>0</v>
      </c>
      <c r="AI142" s="27" t="str">
        <f t="shared" si="511"/>
        <v/>
      </c>
      <c r="AJ142" s="21">
        <f>AJ141</f>
        <v>0</v>
      </c>
      <c r="AK142" s="21">
        <f>COUNTIFS('Data-TED-1'!$AH:$AH,AJ$1,'Data-TED-1'!$W:$W,$B142)</f>
        <v>0</v>
      </c>
      <c r="AL142" s="27" t="str">
        <f t="shared" si="512"/>
        <v/>
      </c>
      <c r="AM142" s="21">
        <f>AM141</f>
        <v>0</v>
      </c>
      <c r="AN142" s="21">
        <f>COUNTIFS('Data-TED-1'!$AH:$AH,AM$1,'Data-TED-1'!$W:$W,$B142)</f>
        <v>0</v>
      </c>
      <c r="AO142" s="27" t="str">
        <f t="shared" si="513"/>
        <v/>
      </c>
    </row>
    <row r="143" spans="1:41" x14ac:dyDescent="0.3">
      <c r="A143" s="25">
        <v>21</v>
      </c>
      <c r="B143" s="7" t="s">
        <v>89</v>
      </c>
      <c r="C143" s="21"/>
      <c r="D143" s="21"/>
      <c r="E143" s="23"/>
      <c r="F143" s="21"/>
      <c r="G143" s="21"/>
      <c r="H143" s="23"/>
      <c r="I143" s="21"/>
      <c r="J143" s="21"/>
      <c r="K143" s="23"/>
      <c r="L143" s="21"/>
      <c r="M143" s="21"/>
      <c r="N143" s="23"/>
      <c r="O143" s="21"/>
      <c r="P143" s="21"/>
      <c r="Q143" s="23"/>
      <c r="R143" s="21"/>
      <c r="S143" s="21"/>
      <c r="T143" s="23"/>
      <c r="U143" s="21"/>
      <c r="V143" s="21"/>
      <c r="W143" s="23"/>
      <c r="X143" s="21"/>
      <c r="Y143" s="21"/>
      <c r="Z143" s="23"/>
      <c r="AA143" s="21"/>
      <c r="AB143" s="21"/>
      <c r="AC143" s="23"/>
      <c r="AD143" s="21"/>
      <c r="AE143" s="21"/>
      <c r="AF143" s="23"/>
      <c r="AG143" s="21"/>
      <c r="AH143" s="21"/>
      <c r="AI143" s="23"/>
      <c r="AJ143" s="21"/>
      <c r="AK143" s="21"/>
      <c r="AL143" s="23"/>
      <c r="AM143" s="21"/>
      <c r="AN143" s="21"/>
      <c r="AO143" s="23"/>
    </row>
    <row r="144" spans="1:41" x14ac:dyDescent="0.3">
      <c r="A144" s="25"/>
      <c r="B144" s="33" t="s">
        <v>119</v>
      </c>
      <c r="C144" s="21">
        <f>COUNTIF('Data-TED-1'!$X:$X,"&lt;&gt;" &amp; "")-1</f>
        <v>1</v>
      </c>
      <c r="D144" s="21">
        <f>G144+J144+M144+P144+S144+V144+Y144+AB144+AE144+AH144+AK144+AN144</f>
        <v>0</v>
      </c>
      <c r="E144" s="27">
        <f t="shared" si="457"/>
        <v>0</v>
      </c>
      <c r="F144" s="21">
        <f>COUNTIFS('Data-TED-1'!$AH:$AH,F$1,'Data-TED-1'!$X:$X,"&lt;&gt;" &amp; "")</f>
        <v>0</v>
      </c>
      <c r="G144" s="21">
        <f>COUNTIFS('Data-TED-1'!$AH:$AH,F$1,'Data-TED-1'!$X:$X,"Very satisfactory (100%)")</f>
        <v>0</v>
      </c>
      <c r="H144" s="27" t="str">
        <f t="shared" si="458"/>
        <v/>
      </c>
      <c r="I144" s="21">
        <f>COUNTIFS('Data-TED-1'!$AH:$AH,I$1,'Data-TED-1'!$X:$X,"&lt;&gt;" &amp; "")</f>
        <v>0</v>
      </c>
      <c r="J144" s="21">
        <f>COUNTIFS('Data-TED-1'!$AH:$AH,I$1,'Data-TED-1'!$X:$X,"Very satisfactory (100%)")</f>
        <v>0</v>
      </c>
      <c r="K144" s="27" t="str">
        <f t="shared" ref="K144:K148" si="514">IF(I144 &lt;&gt; 0,J144/I144,"")</f>
        <v/>
      </c>
      <c r="L144" s="21">
        <f>COUNTIFS('Data-TED-1'!$AH:$AH,L$1,'Data-TED-1'!$X:$X,"&lt;&gt;" &amp; "")</f>
        <v>0</v>
      </c>
      <c r="M144" s="21">
        <f>COUNTIFS('Data-TED-1'!$AH:$AH,L$1,'Data-TED-1'!$X:$X,"Very satisfactory (100%)")</f>
        <v>0</v>
      </c>
      <c r="N144" s="27" t="str">
        <f t="shared" ref="N144:N148" si="515">IF(L144 &lt;&gt; 0,M144/L144,"")</f>
        <v/>
      </c>
      <c r="O144" s="21">
        <f>COUNTIFS('Data-TED-1'!$AH:$AH,O$1,'Data-TED-1'!$X:$X,"&lt;&gt;" &amp; "")</f>
        <v>0</v>
      </c>
      <c r="P144" s="21">
        <f>COUNTIFS('Data-TED-1'!$AH:$AH,O$1,'Data-TED-1'!$X:$X,"Very satisfactory (100%)")</f>
        <v>0</v>
      </c>
      <c r="Q144" s="27" t="str">
        <f t="shared" ref="Q144:Q148" si="516">IF(O144 &lt;&gt; 0,P144/O144,"")</f>
        <v/>
      </c>
      <c r="R144" s="21">
        <f>COUNTIFS('Data-TED-1'!$AH:$AH,R$1,'Data-TED-1'!$X:$X,"&lt;&gt;" &amp; "")</f>
        <v>0</v>
      </c>
      <c r="S144" s="21">
        <f>COUNTIFS('Data-TED-1'!$AH:$AH,R$1,'Data-TED-1'!$X:$X,"Very satisfactory (100%)")</f>
        <v>0</v>
      </c>
      <c r="T144" s="27" t="str">
        <f t="shared" ref="T144:T148" si="517">IF(R144 &lt;&gt; 0,S144/R144,"")</f>
        <v/>
      </c>
      <c r="U144" s="21">
        <f>COUNTIFS('Data-TED-1'!$AH:$AH,U$1,'Data-TED-1'!$X:$X,"&lt;&gt;" &amp; "")</f>
        <v>0</v>
      </c>
      <c r="V144" s="21">
        <f>COUNTIFS('Data-TED-1'!$AH:$AH,U$1,'Data-TED-1'!$X:$X,"Very satisfactory (100%)")</f>
        <v>0</v>
      </c>
      <c r="W144" s="27" t="str">
        <f t="shared" ref="W144:W148" si="518">IF(U144 &lt;&gt; 0,V144/U144,"")</f>
        <v/>
      </c>
      <c r="X144" s="21">
        <f>COUNTIFS('Data-TED-1'!$AH:$AH,X$1,'Data-TED-1'!$X:$X,"&lt;&gt;" &amp; "")</f>
        <v>0</v>
      </c>
      <c r="Y144" s="21">
        <f>COUNTIFS('Data-TED-1'!$AH:$AH,X$1,'Data-TED-1'!$X:$X,"Very satisfactory (100%)")</f>
        <v>0</v>
      </c>
      <c r="Z144" s="27" t="str">
        <f t="shared" ref="Z144:Z148" si="519">IF(X144 &lt;&gt; 0,Y144/X144,"")</f>
        <v/>
      </c>
      <c r="AA144" s="21">
        <f>COUNTIFS('Data-TED-1'!$AH:$AH,AA$1,'Data-TED-1'!$X:$X,"&lt;&gt;" &amp; "")</f>
        <v>0</v>
      </c>
      <c r="AB144" s="21">
        <f>COUNTIFS('Data-TED-1'!$AH:$AH,AA$1,'Data-TED-1'!$X:$X,"Very satisfactory (100%)")</f>
        <v>0</v>
      </c>
      <c r="AC144" s="27" t="str">
        <f t="shared" ref="AC144:AC148" si="520">IF(AA144 &lt;&gt; 0,AB144/AA144,"")</f>
        <v/>
      </c>
      <c r="AD144" s="21">
        <f>COUNTIFS('Data-TED-1'!$AH:$AH,AD$1,'Data-TED-1'!$X:$X,"&lt;&gt;" &amp; "")</f>
        <v>1</v>
      </c>
      <c r="AE144" s="21">
        <f>COUNTIFS('Data-TED-1'!$AH:$AH,AD$1,'Data-TED-1'!$X:$X,"Very satisfactory (100%)")</f>
        <v>0</v>
      </c>
      <c r="AF144" s="27">
        <f t="shared" ref="AF144:AF148" si="521">IF(AD144 &lt;&gt; 0,AE144/AD144,"")</f>
        <v>0</v>
      </c>
      <c r="AG144" s="21">
        <f>COUNTIFS('Data-TED-1'!$AH:$AH,AG$1,'Data-TED-1'!$X:$X,"&lt;&gt;" &amp; "")</f>
        <v>0</v>
      </c>
      <c r="AH144" s="21">
        <f>COUNTIFS('Data-TED-1'!$AH:$AH,AG$1,'Data-TED-1'!$X:$X,"Very satisfactory (100%)")</f>
        <v>0</v>
      </c>
      <c r="AI144" s="27" t="str">
        <f t="shared" ref="AI144:AI148" si="522">IF(AG144 &lt;&gt; 0,AH144/AG144,"")</f>
        <v/>
      </c>
      <c r="AJ144" s="21">
        <f>COUNTIFS('Data-TED-1'!$AH:$AH,AJ$1,'Data-TED-1'!$X:$X,"&lt;&gt;" &amp; "")</f>
        <v>0</v>
      </c>
      <c r="AK144" s="21">
        <f>COUNTIFS('Data-TED-1'!$AH:$AH,AJ$1,'Data-TED-1'!$X:$X,"Very satisfactory (100%)")</f>
        <v>0</v>
      </c>
      <c r="AL144" s="27" t="str">
        <f t="shared" ref="AL144:AL148" si="523">IF(AJ144 &lt;&gt; 0,AK144/AJ144,"")</f>
        <v/>
      </c>
      <c r="AM144" s="21">
        <f>COUNTIFS('Data-TED-1'!$AH:$AH,AM$1,'Data-TED-1'!$X:$X,"&lt;&gt;" &amp; "")</f>
        <v>0</v>
      </c>
      <c r="AN144" s="21">
        <f>COUNTIFS('Data-TED-1'!$AH:$AH,AM$1,'Data-TED-1'!$X:$X,"Very satisfactory (100%)")</f>
        <v>0</v>
      </c>
      <c r="AO144" s="27" t="str">
        <f t="shared" ref="AO144:AO148" si="524">IF(AM144 &lt;&gt; 0,AN144/AM144,"")</f>
        <v/>
      </c>
    </row>
    <row r="145" spans="1:41" x14ac:dyDescent="0.3">
      <c r="A145" s="25"/>
      <c r="B145" s="33" t="s">
        <v>120</v>
      </c>
      <c r="C145" s="21">
        <f>C144</f>
        <v>1</v>
      </c>
      <c r="D145" s="21">
        <f t="shared" ref="D145:D148" si="525">G145+J145+M145+P145+S145+V145+Y145+AB145+AE145+AH145+AK145+AN145</f>
        <v>0</v>
      </c>
      <c r="E145" s="27">
        <f t="shared" si="457"/>
        <v>0</v>
      </c>
      <c r="F145" s="21">
        <f>F144</f>
        <v>0</v>
      </c>
      <c r="G145" s="21">
        <f>COUNTIFS('Data-TED-1'!$AH:$AH,F$1,'Data-TED-1'!$X:$X,"Satisfactory (80%)")</f>
        <v>0</v>
      </c>
      <c r="H145" s="27" t="str">
        <f t="shared" si="458"/>
        <v/>
      </c>
      <c r="I145" s="21">
        <f>I144</f>
        <v>0</v>
      </c>
      <c r="J145" s="21">
        <f>COUNTIFS('Data-TED-1'!$AH:$AH,I$1,'Data-TED-1'!$X:$X,"Satisfactory (80%)")</f>
        <v>0</v>
      </c>
      <c r="K145" s="27" t="str">
        <f t="shared" si="514"/>
        <v/>
      </c>
      <c r="L145" s="21">
        <f>L144</f>
        <v>0</v>
      </c>
      <c r="M145" s="21">
        <f>COUNTIFS('Data-TED-1'!$AH:$AH,L$1,'Data-TED-1'!$X:$X,"Satisfactory (80%)")</f>
        <v>0</v>
      </c>
      <c r="N145" s="27" t="str">
        <f t="shared" si="515"/>
        <v/>
      </c>
      <c r="O145" s="21">
        <f>O144</f>
        <v>0</v>
      </c>
      <c r="P145" s="21">
        <f>COUNTIFS('Data-TED-1'!$AH:$AH,O$1,'Data-TED-1'!$X:$X,"Satisfactory (80%)")</f>
        <v>0</v>
      </c>
      <c r="Q145" s="27" t="str">
        <f t="shared" si="516"/>
        <v/>
      </c>
      <c r="R145" s="21">
        <f>R144</f>
        <v>0</v>
      </c>
      <c r="S145" s="21">
        <f>COUNTIFS('Data-TED-1'!$AH:$AH,R$1,'Data-TED-1'!$X:$X,"Satisfactory (80%)")</f>
        <v>0</v>
      </c>
      <c r="T145" s="27" t="str">
        <f t="shared" si="517"/>
        <v/>
      </c>
      <c r="U145" s="21">
        <f>U144</f>
        <v>0</v>
      </c>
      <c r="V145" s="21">
        <f>COUNTIFS('Data-TED-1'!$AH:$AH,U$1,'Data-TED-1'!$X:$X,"Satisfactory (80%)")</f>
        <v>0</v>
      </c>
      <c r="W145" s="27" t="str">
        <f t="shared" si="518"/>
        <v/>
      </c>
      <c r="X145" s="21">
        <f>X144</f>
        <v>0</v>
      </c>
      <c r="Y145" s="21">
        <f>COUNTIFS('Data-TED-1'!$AH:$AH,X$1,'Data-TED-1'!$X:$X,"Satisfactory (80%)")</f>
        <v>0</v>
      </c>
      <c r="Z145" s="27" t="str">
        <f t="shared" si="519"/>
        <v/>
      </c>
      <c r="AA145" s="21">
        <f>AA144</f>
        <v>0</v>
      </c>
      <c r="AB145" s="21">
        <f>COUNTIFS('Data-TED-1'!$AH:$AH,AA$1,'Data-TED-1'!$X:$X,"Satisfactory (80%)")</f>
        <v>0</v>
      </c>
      <c r="AC145" s="27" t="str">
        <f t="shared" si="520"/>
        <v/>
      </c>
      <c r="AD145" s="21">
        <f>AD144</f>
        <v>1</v>
      </c>
      <c r="AE145" s="21">
        <f>COUNTIFS('Data-TED-1'!$AH:$AH,AD$1,'Data-TED-1'!$X:$X,"Satisfactory (80%)")</f>
        <v>0</v>
      </c>
      <c r="AF145" s="27">
        <f t="shared" si="521"/>
        <v>0</v>
      </c>
      <c r="AG145" s="21">
        <f>AG144</f>
        <v>0</v>
      </c>
      <c r="AH145" s="21">
        <f>COUNTIFS('Data-TED-1'!$AH:$AH,AG$1,'Data-TED-1'!$X:$X,"Satisfactory (80%)")</f>
        <v>0</v>
      </c>
      <c r="AI145" s="27" t="str">
        <f t="shared" si="522"/>
        <v/>
      </c>
      <c r="AJ145" s="21">
        <f>AJ144</f>
        <v>0</v>
      </c>
      <c r="AK145" s="21">
        <f>COUNTIFS('Data-TED-1'!$AH:$AH,AJ$1,'Data-TED-1'!$X:$X,"Satisfactory (80%)")</f>
        <v>0</v>
      </c>
      <c r="AL145" s="27" t="str">
        <f t="shared" si="523"/>
        <v/>
      </c>
      <c r="AM145" s="21">
        <f>AM144</f>
        <v>0</v>
      </c>
      <c r="AN145" s="21">
        <f>COUNTIFS('Data-TED-1'!$AH:$AH,AM$1,'Data-TED-1'!$X:$X,"Satisfactory (80%)")</f>
        <v>0</v>
      </c>
      <c r="AO145" s="27" t="str">
        <f t="shared" si="524"/>
        <v/>
      </c>
    </row>
    <row r="146" spans="1:41" x14ac:dyDescent="0.3">
      <c r="A146" s="25"/>
      <c r="B146" s="33" t="s">
        <v>121</v>
      </c>
      <c r="C146" s="21">
        <f t="shared" ref="C146:C148" si="526">C145</f>
        <v>1</v>
      </c>
      <c r="D146" s="21">
        <f t="shared" si="525"/>
        <v>1</v>
      </c>
      <c r="E146" s="27">
        <f t="shared" si="457"/>
        <v>1</v>
      </c>
      <c r="F146" s="21">
        <f t="shared" ref="F146:F148" si="527">F145</f>
        <v>0</v>
      </c>
      <c r="G146" s="21">
        <f>COUNTIFS('Data-TED-1'!$AH:$AH,F$1,'Data-TED-1'!$X:$X,"Average (60%)")</f>
        <v>0</v>
      </c>
      <c r="H146" s="27" t="str">
        <f t="shared" si="458"/>
        <v/>
      </c>
      <c r="I146" s="21">
        <f t="shared" ref="I146:I148" si="528">I145</f>
        <v>0</v>
      </c>
      <c r="J146" s="21">
        <f>COUNTIFS('Data-TED-1'!$AH:$AH,I$1,'Data-TED-1'!$X:$X,"Average (60%)")</f>
        <v>0</v>
      </c>
      <c r="K146" s="27" t="str">
        <f t="shared" si="514"/>
        <v/>
      </c>
      <c r="L146" s="21">
        <f t="shared" ref="L146:L148" si="529">L145</f>
        <v>0</v>
      </c>
      <c r="M146" s="21">
        <f>COUNTIFS('Data-TED-1'!$AH:$AH,L$1,'Data-TED-1'!$X:$X,"Average (60%)")</f>
        <v>0</v>
      </c>
      <c r="N146" s="27" t="str">
        <f t="shared" si="515"/>
        <v/>
      </c>
      <c r="O146" s="21">
        <f t="shared" ref="O146:O148" si="530">O145</f>
        <v>0</v>
      </c>
      <c r="P146" s="21">
        <f>COUNTIFS('Data-TED-1'!$AH:$AH,O$1,'Data-TED-1'!$X:$X,"Average (60%)")</f>
        <v>0</v>
      </c>
      <c r="Q146" s="27" t="str">
        <f t="shared" si="516"/>
        <v/>
      </c>
      <c r="R146" s="21">
        <f t="shared" ref="R146:R148" si="531">R145</f>
        <v>0</v>
      </c>
      <c r="S146" s="21">
        <f>COUNTIFS('Data-TED-1'!$AH:$AH,R$1,'Data-TED-1'!$X:$X,"Average (60%)")</f>
        <v>0</v>
      </c>
      <c r="T146" s="27" t="str">
        <f t="shared" si="517"/>
        <v/>
      </c>
      <c r="U146" s="21">
        <f t="shared" ref="U146:U148" si="532">U145</f>
        <v>0</v>
      </c>
      <c r="V146" s="21">
        <f>COUNTIFS('Data-TED-1'!$AH:$AH,U$1,'Data-TED-1'!$X:$X,"Average (60%)")</f>
        <v>0</v>
      </c>
      <c r="W146" s="27" t="str">
        <f t="shared" si="518"/>
        <v/>
      </c>
      <c r="X146" s="21">
        <f t="shared" ref="X146:X148" si="533">X145</f>
        <v>0</v>
      </c>
      <c r="Y146" s="21">
        <f>COUNTIFS('Data-TED-1'!$AH:$AH,X$1,'Data-TED-1'!$X:$X,"Average (60%)")</f>
        <v>0</v>
      </c>
      <c r="Z146" s="27" t="str">
        <f t="shared" si="519"/>
        <v/>
      </c>
      <c r="AA146" s="21">
        <f t="shared" ref="AA146:AA148" si="534">AA145</f>
        <v>0</v>
      </c>
      <c r="AB146" s="21">
        <f>COUNTIFS('Data-TED-1'!$AH:$AH,AA$1,'Data-TED-1'!$X:$X,"Average (60%)")</f>
        <v>0</v>
      </c>
      <c r="AC146" s="27" t="str">
        <f t="shared" si="520"/>
        <v/>
      </c>
      <c r="AD146" s="21">
        <f t="shared" ref="AD146:AD148" si="535">AD145</f>
        <v>1</v>
      </c>
      <c r="AE146" s="21">
        <f>COUNTIFS('Data-TED-1'!$AH:$AH,AD$1,'Data-TED-1'!$X:$X,"Average (60%)")</f>
        <v>1</v>
      </c>
      <c r="AF146" s="27">
        <f t="shared" si="521"/>
        <v>1</v>
      </c>
      <c r="AG146" s="21">
        <f t="shared" ref="AG146:AG148" si="536">AG145</f>
        <v>0</v>
      </c>
      <c r="AH146" s="21">
        <f>COUNTIFS('Data-TED-1'!$AH:$AH,AG$1,'Data-TED-1'!$X:$X,"Average (60%)")</f>
        <v>0</v>
      </c>
      <c r="AI146" s="27" t="str">
        <f t="shared" si="522"/>
        <v/>
      </c>
      <c r="AJ146" s="21">
        <f t="shared" ref="AJ146:AJ148" si="537">AJ145</f>
        <v>0</v>
      </c>
      <c r="AK146" s="21">
        <f>COUNTIFS('Data-TED-1'!$AH:$AH,AJ$1,'Data-TED-1'!$X:$X,"Average (60%)")</f>
        <v>0</v>
      </c>
      <c r="AL146" s="27" t="str">
        <f t="shared" si="523"/>
        <v/>
      </c>
      <c r="AM146" s="21">
        <f t="shared" ref="AM146:AM148" si="538">AM145</f>
        <v>0</v>
      </c>
      <c r="AN146" s="21">
        <f>COUNTIFS('Data-TED-1'!$AH:$AH,AM$1,'Data-TED-1'!$X:$X,"Average (60%)")</f>
        <v>0</v>
      </c>
      <c r="AO146" s="27" t="str">
        <f t="shared" si="524"/>
        <v/>
      </c>
    </row>
    <row r="147" spans="1:41" x14ac:dyDescent="0.3">
      <c r="A147" s="25"/>
      <c r="B147" s="33" t="s">
        <v>122</v>
      </c>
      <c r="C147" s="21">
        <f t="shared" si="526"/>
        <v>1</v>
      </c>
      <c r="D147" s="21">
        <f t="shared" si="525"/>
        <v>0</v>
      </c>
      <c r="E147" s="27">
        <f t="shared" si="457"/>
        <v>0</v>
      </c>
      <c r="F147" s="21">
        <f t="shared" si="527"/>
        <v>0</v>
      </c>
      <c r="G147" s="21">
        <f>COUNTIFS('Data-TED-1'!$AH:$AH,F$1,'Data-TED-1'!$X:$X,"Unsatisfactory (40%)")</f>
        <v>0</v>
      </c>
      <c r="H147" s="27" t="str">
        <f t="shared" si="458"/>
        <v/>
      </c>
      <c r="I147" s="21">
        <f t="shared" si="528"/>
        <v>0</v>
      </c>
      <c r="J147" s="21">
        <f>COUNTIFS('Data-TED-1'!$AH:$AH,I$1,'Data-TED-1'!$X:$X,"Unsatisfactory (40%)")</f>
        <v>0</v>
      </c>
      <c r="K147" s="27" t="str">
        <f t="shared" si="514"/>
        <v/>
      </c>
      <c r="L147" s="21">
        <f t="shared" si="529"/>
        <v>0</v>
      </c>
      <c r="M147" s="21">
        <f>COUNTIFS('Data-TED-1'!$AH:$AH,L$1,'Data-TED-1'!$X:$X,"Unsatisfactory (40%)")</f>
        <v>0</v>
      </c>
      <c r="N147" s="27" t="str">
        <f t="shared" si="515"/>
        <v/>
      </c>
      <c r="O147" s="21">
        <f t="shared" si="530"/>
        <v>0</v>
      </c>
      <c r="P147" s="21">
        <f>COUNTIFS('Data-TED-1'!$AH:$AH,O$1,'Data-TED-1'!$X:$X,"Unsatisfactory (40%)")</f>
        <v>0</v>
      </c>
      <c r="Q147" s="27" t="str">
        <f t="shared" si="516"/>
        <v/>
      </c>
      <c r="R147" s="21">
        <f t="shared" si="531"/>
        <v>0</v>
      </c>
      <c r="S147" s="21">
        <f>COUNTIFS('Data-TED-1'!$AH:$AH,R$1,'Data-TED-1'!$X:$X,"Unsatisfactory (40%)")</f>
        <v>0</v>
      </c>
      <c r="T147" s="27" t="str">
        <f t="shared" si="517"/>
        <v/>
      </c>
      <c r="U147" s="21">
        <f t="shared" si="532"/>
        <v>0</v>
      </c>
      <c r="V147" s="21">
        <f>COUNTIFS('Data-TED-1'!$AH:$AH,U$1,'Data-TED-1'!$X:$X,"Unsatisfactory (40%)")</f>
        <v>0</v>
      </c>
      <c r="W147" s="27" t="str">
        <f t="shared" si="518"/>
        <v/>
      </c>
      <c r="X147" s="21">
        <f t="shared" si="533"/>
        <v>0</v>
      </c>
      <c r="Y147" s="21">
        <f>COUNTIFS('Data-TED-1'!$AH:$AH,X$1,'Data-TED-1'!$X:$X,"Unsatisfactory (40%)")</f>
        <v>0</v>
      </c>
      <c r="Z147" s="27" t="str">
        <f t="shared" si="519"/>
        <v/>
      </c>
      <c r="AA147" s="21">
        <f t="shared" si="534"/>
        <v>0</v>
      </c>
      <c r="AB147" s="21">
        <f>COUNTIFS('Data-TED-1'!$AH:$AH,AA$1,'Data-TED-1'!$X:$X,"Unsatisfactory (40%)")</f>
        <v>0</v>
      </c>
      <c r="AC147" s="27" t="str">
        <f t="shared" si="520"/>
        <v/>
      </c>
      <c r="AD147" s="21">
        <f t="shared" si="535"/>
        <v>1</v>
      </c>
      <c r="AE147" s="21">
        <f>COUNTIFS('Data-TED-1'!$AH:$AH,AD$1,'Data-TED-1'!$X:$X,"Unsatisfactory (40%)")</f>
        <v>0</v>
      </c>
      <c r="AF147" s="27">
        <f t="shared" si="521"/>
        <v>0</v>
      </c>
      <c r="AG147" s="21">
        <f t="shared" si="536"/>
        <v>0</v>
      </c>
      <c r="AH147" s="21">
        <f>COUNTIFS('Data-TED-1'!$AH:$AH,AG$1,'Data-TED-1'!$X:$X,"Unsatisfactory (40%)")</f>
        <v>0</v>
      </c>
      <c r="AI147" s="27" t="str">
        <f t="shared" si="522"/>
        <v/>
      </c>
      <c r="AJ147" s="21">
        <f t="shared" si="537"/>
        <v>0</v>
      </c>
      <c r="AK147" s="21">
        <f>COUNTIFS('Data-TED-1'!$AH:$AH,AJ$1,'Data-TED-1'!$X:$X,"Unsatisfactory (40%)")</f>
        <v>0</v>
      </c>
      <c r="AL147" s="27" t="str">
        <f t="shared" si="523"/>
        <v/>
      </c>
      <c r="AM147" s="21">
        <f t="shared" si="538"/>
        <v>0</v>
      </c>
      <c r="AN147" s="21">
        <f>COUNTIFS('Data-TED-1'!$AH:$AH,AM$1,'Data-TED-1'!$X:$X,"Unsatisfactory (40%)")</f>
        <v>0</v>
      </c>
      <c r="AO147" s="27" t="str">
        <f t="shared" si="524"/>
        <v/>
      </c>
    </row>
    <row r="148" spans="1:41" x14ac:dyDescent="0.3">
      <c r="A148" s="25"/>
      <c r="B148" s="33" t="s">
        <v>123</v>
      </c>
      <c r="C148" s="21">
        <f t="shared" si="526"/>
        <v>1</v>
      </c>
      <c r="D148" s="21">
        <f t="shared" si="525"/>
        <v>0</v>
      </c>
      <c r="E148" s="27">
        <f t="shared" si="457"/>
        <v>0</v>
      </c>
      <c r="F148" s="21">
        <f t="shared" si="527"/>
        <v>0</v>
      </c>
      <c r="G148" s="21">
        <f>COUNTIFS('Data-TED-1'!$AH:$AH,F$1,'Data-TED-1'!$X:$X,"Very unsatisfactory (20%)")</f>
        <v>0</v>
      </c>
      <c r="H148" s="27" t="str">
        <f t="shared" si="458"/>
        <v/>
      </c>
      <c r="I148" s="21">
        <f t="shared" si="528"/>
        <v>0</v>
      </c>
      <c r="J148" s="21">
        <f>COUNTIFS('Data-TED-1'!$AH:$AH,I$1,'Data-TED-1'!$X:$X,"Very unsatisfactory (20%)")</f>
        <v>0</v>
      </c>
      <c r="K148" s="27" t="str">
        <f t="shared" si="514"/>
        <v/>
      </c>
      <c r="L148" s="21">
        <f t="shared" si="529"/>
        <v>0</v>
      </c>
      <c r="M148" s="21">
        <f>COUNTIFS('Data-TED-1'!$AH:$AH,L$1,'Data-TED-1'!$X:$X,"Very unsatisfactory (20%)")</f>
        <v>0</v>
      </c>
      <c r="N148" s="27" t="str">
        <f t="shared" si="515"/>
        <v/>
      </c>
      <c r="O148" s="21">
        <f t="shared" si="530"/>
        <v>0</v>
      </c>
      <c r="P148" s="21">
        <f>COUNTIFS('Data-TED-1'!$AH:$AH,O$1,'Data-TED-1'!$X:$X,"Very unsatisfactory (20%)")</f>
        <v>0</v>
      </c>
      <c r="Q148" s="27" t="str">
        <f t="shared" si="516"/>
        <v/>
      </c>
      <c r="R148" s="21">
        <f t="shared" si="531"/>
        <v>0</v>
      </c>
      <c r="S148" s="21">
        <f>COUNTIFS('Data-TED-1'!$AH:$AH,R$1,'Data-TED-1'!$X:$X,"Very unsatisfactory (20%)")</f>
        <v>0</v>
      </c>
      <c r="T148" s="27" t="str">
        <f t="shared" si="517"/>
        <v/>
      </c>
      <c r="U148" s="21">
        <f t="shared" si="532"/>
        <v>0</v>
      </c>
      <c r="V148" s="21">
        <f>COUNTIFS('Data-TED-1'!$AH:$AH,U$1,'Data-TED-1'!$X:$X,"Very unsatisfactory (20%)")</f>
        <v>0</v>
      </c>
      <c r="W148" s="27" t="str">
        <f t="shared" si="518"/>
        <v/>
      </c>
      <c r="X148" s="21">
        <f t="shared" si="533"/>
        <v>0</v>
      </c>
      <c r="Y148" s="21">
        <f>COUNTIFS('Data-TED-1'!$AH:$AH,X$1,'Data-TED-1'!$X:$X,"Very unsatisfactory (20%)")</f>
        <v>0</v>
      </c>
      <c r="Z148" s="27" t="str">
        <f t="shared" si="519"/>
        <v/>
      </c>
      <c r="AA148" s="21">
        <f t="shared" si="534"/>
        <v>0</v>
      </c>
      <c r="AB148" s="21">
        <f>COUNTIFS('Data-TED-1'!$AH:$AH,AA$1,'Data-TED-1'!$X:$X,"Very unsatisfactory (20%)")</f>
        <v>0</v>
      </c>
      <c r="AC148" s="27" t="str">
        <f t="shared" si="520"/>
        <v/>
      </c>
      <c r="AD148" s="21">
        <f t="shared" si="535"/>
        <v>1</v>
      </c>
      <c r="AE148" s="21">
        <f>COUNTIFS('Data-TED-1'!$AH:$AH,AD$1,'Data-TED-1'!$X:$X,"Very unsatisfactory (20%)")</f>
        <v>0</v>
      </c>
      <c r="AF148" s="27">
        <f t="shared" si="521"/>
        <v>0</v>
      </c>
      <c r="AG148" s="21">
        <f t="shared" si="536"/>
        <v>0</v>
      </c>
      <c r="AH148" s="21">
        <f>COUNTIFS('Data-TED-1'!$AH:$AH,AG$1,'Data-TED-1'!$X:$X,"Very unsatisfactory (20%)")</f>
        <v>0</v>
      </c>
      <c r="AI148" s="27" t="str">
        <f t="shared" si="522"/>
        <v/>
      </c>
      <c r="AJ148" s="21">
        <f t="shared" si="537"/>
        <v>0</v>
      </c>
      <c r="AK148" s="21">
        <f>COUNTIFS('Data-TED-1'!$AH:$AH,AJ$1,'Data-TED-1'!$X:$X,"Very unsatisfactory (20%)")</f>
        <v>0</v>
      </c>
      <c r="AL148" s="27" t="str">
        <f t="shared" si="523"/>
        <v/>
      </c>
      <c r="AM148" s="21">
        <f t="shared" si="538"/>
        <v>0</v>
      </c>
      <c r="AN148" s="21">
        <f>COUNTIFS('Data-TED-1'!$AH:$AH,AM$1,'Data-TED-1'!$X:$X,"Very unsatisfactory (20%)")</f>
        <v>0</v>
      </c>
      <c r="AO148" s="27" t="str">
        <f t="shared" si="524"/>
        <v/>
      </c>
    </row>
    <row r="149" spans="1:41" x14ac:dyDescent="0.3">
      <c r="A149" s="25">
        <v>22</v>
      </c>
      <c r="B149" s="51" t="s">
        <v>90</v>
      </c>
      <c r="C149" s="21"/>
      <c r="D149" s="21"/>
      <c r="E149" s="23"/>
      <c r="F149" s="21"/>
      <c r="G149" s="21"/>
      <c r="H149" s="23"/>
      <c r="I149" s="21"/>
      <c r="J149" s="21"/>
      <c r="K149" s="23"/>
      <c r="L149" s="21"/>
      <c r="M149" s="21"/>
      <c r="N149" s="23"/>
      <c r="O149" s="21"/>
      <c r="P149" s="21"/>
      <c r="Q149" s="23"/>
      <c r="R149" s="21"/>
      <c r="S149" s="21"/>
      <c r="T149" s="23"/>
      <c r="U149" s="21"/>
      <c r="V149" s="21"/>
      <c r="W149" s="23"/>
      <c r="X149" s="21"/>
      <c r="Y149" s="21"/>
      <c r="Z149" s="23"/>
      <c r="AA149" s="21"/>
      <c r="AB149" s="21"/>
      <c r="AC149" s="23"/>
      <c r="AD149" s="21"/>
      <c r="AE149" s="21"/>
      <c r="AF149" s="23"/>
      <c r="AG149" s="21"/>
      <c r="AH149" s="21"/>
      <c r="AI149" s="23"/>
      <c r="AJ149" s="21"/>
      <c r="AK149" s="21"/>
      <c r="AL149" s="23"/>
      <c r="AM149" s="21"/>
      <c r="AN149" s="21"/>
      <c r="AO149" s="23"/>
    </row>
    <row r="150" spans="1:41" x14ac:dyDescent="0.3">
      <c r="A150" s="25"/>
      <c r="B150" s="26" t="s">
        <v>60</v>
      </c>
      <c r="C150" s="21">
        <f>COUNTIF('Data-TED-1'!$Y:$Y,"&lt;&gt;" &amp; "")-1</f>
        <v>1</v>
      </c>
      <c r="D150" s="21">
        <f>G150+J150+M150+P150+S150+V150+Y150+AB150+AE150+AH150+AK150+AN150</f>
        <v>0</v>
      </c>
      <c r="E150" s="27">
        <f t="shared" si="457"/>
        <v>0</v>
      </c>
      <c r="F150" s="21">
        <f>COUNTIFS('Data-TED-1'!$AH:$AH,F$1,'Data-TED-1'!$Y:$Y,"&lt;&gt;" &amp; "")</f>
        <v>0</v>
      </c>
      <c r="G150" s="21">
        <f>COUNTIFS('Data-TED-1'!$AH:$AH,F$1,'Data-TED-1'!$Y:$Y,"100%")</f>
        <v>0</v>
      </c>
      <c r="H150" s="27" t="str">
        <f t="shared" si="458"/>
        <v/>
      </c>
      <c r="I150" s="21">
        <f>COUNTIFS('Data-TED-1'!$AH:$AH,I$1,'Data-TED-1'!$Y:$Y,"&lt;&gt;" &amp; "")</f>
        <v>0</v>
      </c>
      <c r="J150" s="21">
        <f>COUNTIFS('Data-TED-1'!$AH:$AH,I$1,'Data-TED-1'!$Y:$Y,"100%")</f>
        <v>0</v>
      </c>
      <c r="K150" s="27" t="str">
        <f t="shared" ref="K150:K154" si="539">IF(I150 &lt;&gt; 0,J150/I150,"")</f>
        <v/>
      </c>
      <c r="L150" s="21">
        <f>COUNTIFS('Data-TED-1'!$AH:$AH,L$1,'Data-TED-1'!$Y:$Y,"&lt;&gt;" &amp; "")</f>
        <v>0</v>
      </c>
      <c r="M150" s="21">
        <f>COUNTIFS('Data-TED-1'!$AH:$AH,L$1,'Data-TED-1'!$Y:$Y,"100%")</f>
        <v>0</v>
      </c>
      <c r="N150" s="27" t="str">
        <f t="shared" ref="N150:N154" si="540">IF(L150 &lt;&gt; 0,M150/L150,"")</f>
        <v/>
      </c>
      <c r="O150" s="21">
        <f>COUNTIFS('Data-TED-1'!$AH:$AH,O$1,'Data-TED-1'!$Y:$Y,"&lt;&gt;" &amp; "")</f>
        <v>0</v>
      </c>
      <c r="P150" s="21">
        <f>COUNTIFS('Data-TED-1'!$AH:$AH,O$1,'Data-TED-1'!$Y:$Y,"100%")</f>
        <v>0</v>
      </c>
      <c r="Q150" s="27" t="str">
        <f t="shared" ref="Q150:Q154" si="541">IF(O150 &lt;&gt; 0,P150/O150,"")</f>
        <v/>
      </c>
      <c r="R150" s="21">
        <f>COUNTIFS('Data-TED-1'!$AH:$AH,R$1,'Data-TED-1'!$Y:$Y,"&lt;&gt;" &amp; "")</f>
        <v>0</v>
      </c>
      <c r="S150" s="21">
        <f>COUNTIFS('Data-TED-1'!$AH:$AH,R$1,'Data-TED-1'!$Y:$Y,"100%")</f>
        <v>0</v>
      </c>
      <c r="T150" s="27" t="str">
        <f t="shared" ref="T150:T154" si="542">IF(R150 &lt;&gt; 0,S150/R150,"")</f>
        <v/>
      </c>
      <c r="U150" s="21">
        <f>COUNTIFS('Data-TED-1'!$AH:$AH,U$1,'Data-TED-1'!$Y:$Y,"&lt;&gt;" &amp; "")</f>
        <v>0</v>
      </c>
      <c r="V150" s="21">
        <f>COUNTIFS('Data-TED-1'!$AH:$AH,U$1,'Data-TED-1'!$Y:$Y,"100%")</f>
        <v>0</v>
      </c>
      <c r="W150" s="27" t="str">
        <f t="shared" ref="W150:W154" si="543">IF(U150 &lt;&gt; 0,V150/U150,"")</f>
        <v/>
      </c>
      <c r="X150" s="21">
        <f>COUNTIFS('Data-TED-1'!$AH:$AH,X$1,'Data-TED-1'!$Y:$Y,"&lt;&gt;" &amp; "")</f>
        <v>0</v>
      </c>
      <c r="Y150" s="21">
        <f>COUNTIFS('Data-TED-1'!$AH:$AH,X$1,'Data-TED-1'!$Y:$Y,"100%")</f>
        <v>0</v>
      </c>
      <c r="Z150" s="27" t="str">
        <f t="shared" ref="Z150:Z154" si="544">IF(X150 &lt;&gt; 0,Y150/X150,"")</f>
        <v/>
      </c>
      <c r="AA150" s="21">
        <f>COUNTIFS('Data-TED-1'!$AH:$AH,AA$1,'Data-TED-1'!$Y:$Y,"&lt;&gt;" &amp; "")</f>
        <v>0</v>
      </c>
      <c r="AB150" s="21">
        <f>COUNTIFS('Data-TED-1'!$AH:$AH,AA$1,'Data-TED-1'!$Y:$Y,"100%")</f>
        <v>0</v>
      </c>
      <c r="AC150" s="27" t="str">
        <f t="shared" ref="AC150:AC154" si="545">IF(AA150 &lt;&gt; 0,AB150/AA150,"")</f>
        <v/>
      </c>
      <c r="AD150" s="21">
        <f>COUNTIFS('Data-TED-1'!$AH:$AH,AD$1,'Data-TED-1'!$Y:$Y,"&lt;&gt;" &amp; "")</f>
        <v>1</v>
      </c>
      <c r="AE150" s="21">
        <f>COUNTIFS('Data-TED-1'!$AH:$AH,AD$1,'Data-TED-1'!$Y:$Y,"100%")</f>
        <v>0</v>
      </c>
      <c r="AF150" s="27">
        <f t="shared" ref="AF150:AF154" si="546">IF(AD150 &lt;&gt; 0,AE150/AD150,"")</f>
        <v>0</v>
      </c>
      <c r="AG150" s="21">
        <f>COUNTIFS('Data-TED-1'!$AH:$AH,AG$1,'Data-TED-1'!$Y:$Y,"&lt;&gt;" &amp; "")</f>
        <v>0</v>
      </c>
      <c r="AH150" s="21">
        <f>COUNTIFS('Data-TED-1'!$AH:$AH,AG$1,'Data-TED-1'!$Y:$Y,"100%")</f>
        <v>0</v>
      </c>
      <c r="AI150" s="27" t="str">
        <f t="shared" ref="AI150:AI154" si="547">IF(AG150 &lt;&gt; 0,AH150/AG150,"")</f>
        <v/>
      </c>
      <c r="AJ150" s="21">
        <f>COUNTIFS('Data-TED-1'!$AH:$AH,AJ$1,'Data-TED-1'!$Y:$Y,"&lt;&gt;" &amp; "")</f>
        <v>0</v>
      </c>
      <c r="AK150" s="21">
        <f>COUNTIFS('Data-TED-1'!$AH:$AH,AJ$1,'Data-TED-1'!$Y:$Y,"100%")</f>
        <v>0</v>
      </c>
      <c r="AL150" s="27" t="str">
        <f t="shared" ref="AL150:AL154" si="548">IF(AJ150 &lt;&gt; 0,AK150/AJ150,"")</f>
        <v/>
      </c>
      <c r="AM150" s="21">
        <f>COUNTIFS('Data-TED-1'!$AH:$AH,AM$1,'Data-TED-1'!$Y:$Y,"&lt;&gt;" &amp; "")</f>
        <v>0</v>
      </c>
      <c r="AN150" s="21">
        <f>COUNTIFS('Data-TED-1'!$AH:$AH,AM$1,'Data-TED-1'!$Y:$Y,"100%")</f>
        <v>0</v>
      </c>
      <c r="AO150" s="27" t="str">
        <f t="shared" ref="AO150:AO154" si="549">IF(AM150 &lt;&gt; 0,AN150/AM150,"")</f>
        <v/>
      </c>
    </row>
    <row r="151" spans="1:41" x14ac:dyDescent="0.3">
      <c r="A151" s="25"/>
      <c r="B151" s="26" t="s">
        <v>61</v>
      </c>
      <c r="C151" s="21">
        <f>C150</f>
        <v>1</v>
      </c>
      <c r="D151" s="21">
        <f t="shared" ref="D151:D154" si="550">G151+J151+M151+P151+S151+V151+Y151+AB151+AE151+AH151+AK151+AN151</f>
        <v>0</v>
      </c>
      <c r="E151" s="27">
        <f t="shared" si="457"/>
        <v>0</v>
      </c>
      <c r="F151" s="21">
        <f>F150</f>
        <v>0</v>
      </c>
      <c r="G151" s="21">
        <f>COUNTIFS('Data-TED-1'!$AH:$AH,F$1,'Data-TED-1'!$Y:$Y,"80%")</f>
        <v>0</v>
      </c>
      <c r="H151" s="27" t="str">
        <f t="shared" si="458"/>
        <v/>
      </c>
      <c r="I151" s="21">
        <f>I150</f>
        <v>0</v>
      </c>
      <c r="J151" s="21">
        <f>COUNTIFS('Data-TED-1'!$AH:$AH,I$1,'Data-TED-1'!$Y:$Y,"80%")</f>
        <v>0</v>
      </c>
      <c r="K151" s="27" t="str">
        <f t="shared" si="539"/>
        <v/>
      </c>
      <c r="L151" s="21">
        <f>L150</f>
        <v>0</v>
      </c>
      <c r="M151" s="21">
        <f>COUNTIFS('Data-TED-1'!$AH:$AH,L$1,'Data-TED-1'!$Y:$Y,"80%")</f>
        <v>0</v>
      </c>
      <c r="N151" s="27" t="str">
        <f t="shared" si="540"/>
        <v/>
      </c>
      <c r="O151" s="21">
        <f>O150</f>
        <v>0</v>
      </c>
      <c r="P151" s="21">
        <f>COUNTIFS('Data-TED-1'!$AH:$AH,O$1,'Data-TED-1'!$Y:$Y,"80%")</f>
        <v>0</v>
      </c>
      <c r="Q151" s="27" t="str">
        <f t="shared" si="541"/>
        <v/>
      </c>
      <c r="R151" s="21">
        <f>R150</f>
        <v>0</v>
      </c>
      <c r="S151" s="21">
        <f>COUNTIFS('Data-TED-1'!$AH:$AH,R$1,'Data-TED-1'!$Y:$Y,"80%")</f>
        <v>0</v>
      </c>
      <c r="T151" s="27" t="str">
        <f t="shared" si="542"/>
        <v/>
      </c>
      <c r="U151" s="21">
        <f>U150</f>
        <v>0</v>
      </c>
      <c r="V151" s="21">
        <f>COUNTIFS('Data-TED-1'!$AH:$AH,U$1,'Data-TED-1'!$Y:$Y,"80%")</f>
        <v>0</v>
      </c>
      <c r="W151" s="27" t="str">
        <f t="shared" si="543"/>
        <v/>
      </c>
      <c r="X151" s="21">
        <f>X150</f>
        <v>0</v>
      </c>
      <c r="Y151" s="21">
        <f>COUNTIFS('Data-TED-1'!$AH:$AH,X$1,'Data-TED-1'!$Y:$Y,"80%")</f>
        <v>0</v>
      </c>
      <c r="Z151" s="27" t="str">
        <f t="shared" si="544"/>
        <v/>
      </c>
      <c r="AA151" s="21">
        <f>AA150</f>
        <v>0</v>
      </c>
      <c r="AB151" s="21">
        <f>COUNTIFS('Data-TED-1'!$AH:$AH,AA$1,'Data-TED-1'!$Y:$Y,"80%")</f>
        <v>0</v>
      </c>
      <c r="AC151" s="27" t="str">
        <f t="shared" si="545"/>
        <v/>
      </c>
      <c r="AD151" s="21">
        <f>AD150</f>
        <v>1</v>
      </c>
      <c r="AE151" s="21">
        <f>COUNTIFS('Data-TED-1'!$AH:$AH,AD$1,'Data-TED-1'!$Y:$Y,"80%")</f>
        <v>0</v>
      </c>
      <c r="AF151" s="27">
        <f t="shared" si="546"/>
        <v>0</v>
      </c>
      <c r="AG151" s="21">
        <f>AG150</f>
        <v>0</v>
      </c>
      <c r="AH151" s="21">
        <f>COUNTIFS('Data-TED-1'!$AH:$AH,AG$1,'Data-TED-1'!$Y:$Y,"80%")</f>
        <v>0</v>
      </c>
      <c r="AI151" s="27" t="str">
        <f t="shared" si="547"/>
        <v/>
      </c>
      <c r="AJ151" s="21">
        <f>AJ150</f>
        <v>0</v>
      </c>
      <c r="AK151" s="21">
        <f>COUNTIFS('Data-TED-1'!$AH:$AH,AJ$1,'Data-TED-1'!$Y:$Y,"80%")</f>
        <v>0</v>
      </c>
      <c r="AL151" s="27" t="str">
        <f t="shared" si="548"/>
        <v/>
      </c>
      <c r="AM151" s="21">
        <f>AM150</f>
        <v>0</v>
      </c>
      <c r="AN151" s="21">
        <f>COUNTIFS('Data-TED-1'!$AH:$AH,AM$1,'Data-TED-1'!$Y:$Y,"80%")</f>
        <v>0</v>
      </c>
      <c r="AO151" s="27" t="str">
        <f t="shared" si="549"/>
        <v/>
      </c>
    </row>
    <row r="152" spans="1:41" x14ac:dyDescent="0.3">
      <c r="A152" s="25"/>
      <c r="B152" s="26" t="s">
        <v>62</v>
      </c>
      <c r="C152" s="21">
        <f t="shared" ref="C152:C154" si="551">C151</f>
        <v>1</v>
      </c>
      <c r="D152" s="21">
        <f t="shared" si="550"/>
        <v>1</v>
      </c>
      <c r="E152" s="27">
        <f t="shared" si="457"/>
        <v>1</v>
      </c>
      <c r="F152" s="21">
        <f t="shared" ref="F152:F154" si="552">F151</f>
        <v>0</v>
      </c>
      <c r="G152" s="21">
        <f>COUNTIFS('Data-TED-1'!$AH:$AH,F$1,'Data-TED-1'!$Y:$Y,"60%")</f>
        <v>0</v>
      </c>
      <c r="H152" s="27" t="str">
        <f t="shared" si="458"/>
        <v/>
      </c>
      <c r="I152" s="21">
        <f t="shared" ref="I152:I154" si="553">I151</f>
        <v>0</v>
      </c>
      <c r="J152" s="21">
        <f>COUNTIFS('Data-TED-1'!$AH:$AH,I$1,'Data-TED-1'!$Y:$Y,"60%")</f>
        <v>0</v>
      </c>
      <c r="K152" s="27" t="str">
        <f t="shared" si="539"/>
        <v/>
      </c>
      <c r="L152" s="21">
        <f t="shared" ref="L152:L154" si="554">L151</f>
        <v>0</v>
      </c>
      <c r="M152" s="21">
        <f>COUNTIFS('Data-TED-1'!$AH:$AH,L$1,'Data-TED-1'!$Y:$Y,"60%")</f>
        <v>0</v>
      </c>
      <c r="N152" s="27" t="str">
        <f t="shared" si="540"/>
        <v/>
      </c>
      <c r="O152" s="21">
        <f t="shared" ref="O152:O154" si="555">O151</f>
        <v>0</v>
      </c>
      <c r="P152" s="21">
        <f>COUNTIFS('Data-TED-1'!$AH:$AH,O$1,'Data-TED-1'!$Y:$Y,"60%")</f>
        <v>0</v>
      </c>
      <c r="Q152" s="27" t="str">
        <f t="shared" si="541"/>
        <v/>
      </c>
      <c r="R152" s="21">
        <f t="shared" ref="R152:R154" si="556">R151</f>
        <v>0</v>
      </c>
      <c r="S152" s="21">
        <f>COUNTIFS('Data-TED-1'!$AH:$AH,R$1,'Data-TED-1'!$Y:$Y,"60%")</f>
        <v>0</v>
      </c>
      <c r="T152" s="27" t="str">
        <f t="shared" si="542"/>
        <v/>
      </c>
      <c r="U152" s="21">
        <f t="shared" ref="U152:U154" si="557">U151</f>
        <v>0</v>
      </c>
      <c r="V152" s="21">
        <f>COUNTIFS('Data-TED-1'!$AH:$AH,U$1,'Data-TED-1'!$Y:$Y,"60%")</f>
        <v>0</v>
      </c>
      <c r="W152" s="27" t="str">
        <f t="shared" si="543"/>
        <v/>
      </c>
      <c r="X152" s="21">
        <f t="shared" ref="X152:X154" si="558">X151</f>
        <v>0</v>
      </c>
      <c r="Y152" s="21">
        <f>COUNTIFS('Data-TED-1'!$AH:$AH,X$1,'Data-TED-1'!$Y:$Y,"60%")</f>
        <v>0</v>
      </c>
      <c r="Z152" s="27" t="str">
        <f t="shared" si="544"/>
        <v/>
      </c>
      <c r="AA152" s="21">
        <f t="shared" ref="AA152:AA154" si="559">AA151</f>
        <v>0</v>
      </c>
      <c r="AB152" s="21">
        <f>COUNTIFS('Data-TED-1'!$AH:$AH,AA$1,'Data-TED-1'!$Y:$Y,"60%")</f>
        <v>0</v>
      </c>
      <c r="AC152" s="27" t="str">
        <f t="shared" si="545"/>
        <v/>
      </c>
      <c r="AD152" s="21">
        <f t="shared" ref="AD152:AD154" si="560">AD151</f>
        <v>1</v>
      </c>
      <c r="AE152" s="21">
        <f>COUNTIFS('Data-TED-1'!$AH:$AH,AD$1,'Data-TED-1'!$Y:$Y,"60%")</f>
        <v>1</v>
      </c>
      <c r="AF152" s="27">
        <f t="shared" si="546"/>
        <v>1</v>
      </c>
      <c r="AG152" s="21">
        <f t="shared" ref="AG152:AG154" si="561">AG151</f>
        <v>0</v>
      </c>
      <c r="AH152" s="21">
        <f>COUNTIFS('Data-TED-1'!$AH:$AH,AG$1,'Data-TED-1'!$Y:$Y,"60%")</f>
        <v>0</v>
      </c>
      <c r="AI152" s="27" t="str">
        <f t="shared" si="547"/>
        <v/>
      </c>
      <c r="AJ152" s="21">
        <f t="shared" ref="AJ152:AJ154" si="562">AJ151</f>
        <v>0</v>
      </c>
      <c r="AK152" s="21">
        <f>COUNTIFS('Data-TED-1'!$AH:$AH,AJ$1,'Data-TED-1'!$Y:$Y,"60%")</f>
        <v>0</v>
      </c>
      <c r="AL152" s="27" t="str">
        <f t="shared" si="548"/>
        <v/>
      </c>
      <c r="AM152" s="21">
        <f t="shared" ref="AM152:AM154" si="563">AM151</f>
        <v>0</v>
      </c>
      <c r="AN152" s="21">
        <f>COUNTIFS('Data-TED-1'!$AH:$AH,AM$1,'Data-TED-1'!$Y:$Y,"60%")</f>
        <v>0</v>
      </c>
      <c r="AO152" s="27" t="str">
        <f t="shared" si="549"/>
        <v/>
      </c>
    </row>
    <row r="153" spans="1:41" x14ac:dyDescent="0.3">
      <c r="A153" s="25"/>
      <c r="B153" s="26" t="s">
        <v>63</v>
      </c>
      <c r="C153" s="21">
        <f t="shared" si="551"/>
        <v>1</v>
      </c>
      <c r="D153" s="21">
        <f t="shared" si="550"/>
        <v>0</v>
      </c>
      <c r="E153" s="27">
        <f t="shared" si="457"/>
        <v>0</v>
      </c>
      <c r="F153" s="21">
        <f t="shared" si="552"/>
        <v>0</v>
      </c>
      <c r="G153" s="21">
        <f>COUNTIFS('Data-TED-1'!$AH:$AH,F$1,'Data-TED-1'!$Y:$Y,"40%")</f>
        <v>0</v>
      </c>
      <c r="H153" s="27" t="str">
        <f t="shared" si="458"/>
        <v/>
      </c>
      <c r="I153" s="21">
        <f t="shared" si="553"/>
        <v>0</v>
      </c>
      <c r="J153" s="21">
        <f>COUNTIFS('Data-TED-1'!$AH:$AH,I$1,'Data-TED-1'!$Y:$Y,"40%")</f>
        <v>0</v>
      </c>
      <c r="K153" s="27" t="str">
        <f t="shared" si="539"/>
        <v/>
      </c>
      <c r="L153" s="21">
        <f t="shared" si="554"/>
        <v>0</v>
      </c>
      <c r="M153" s="21">
        <f>COUNTIFS('Data-TED-1'!$AH:$AH,L$1,'Data-TED-1'!$Y:$Y,"40%")</f>
        <v>0</v>
      </c>
      <c r="N153" s="27" t="str">
        <f t="shared" si="540"/>
        <v/>
      </c>
      <c r="O153" s="21">
        <f t="shared" si="555"/>
        <v>0</v>
      </c>
      <c r="P153" s="21">
        <f>COUNTIFS('Data-TED-1'!$AH:$AH,O$1,'Data-TED-1'!$Y:$Y,"40%")</f>
        <v>0</v>
      </c>
      <c r="Q153" s="27" t="str">
        <f t="shared" si="541"/>
        <v/>
      </c>
      <c r="R153" s="21">
        <f t="shared" si="556"/>
        <v>0</v>
      </c>
      <c r="S153" s="21">
        <f>COUNTIFS('Data-TED-1'!$AH:$AH,R$1,'Data-TED-1'!$Y:$Y,"40%")</f>
        <v>0</v>
      </c>
      <c r="T153" s="27" t="str">
        <f t="shared" si="542"/>
        <v/>
      </c>
      <c r="U153" s="21">
        <f t="shared" si="557"/>
        <v>0</v>
      </c>
      <c r="V153" s="21">
        <f>COUNTIFS('Data-TED-1'!$AH:$AH,U$1,'Data-TED-1'!$Y:$Y,"40%")</f>
        <v>0</v>
      </c>
      <c r="W153" s="27" t="str">
        <f t="shared" si="543"/>
        <v/>
      </c>
      <c r="X153" s="21">
        <f t="shared" si="558"/>
        <v>0</v>
      </c>
      <c r="Y153" s="21">
        <f>COUNTIFS('Data-TED-1'!$AH:$AH,X$1,'Data-TED-1'!$Y:$Y,"40%")</f>
        <v>0</v>
      </c>
      <c r="Z153" s="27" t="str">
        <f t="shared" si="544"/>
        <v/>
      </c>
      <c r="AA153" s="21">
        <f t="shared" si="559"/>
        <v>0</v>
      </c>
      <c r="AB153" s="21">
        <f>COUNTIFS('Data-TED-1'!$AH:$AH,AA$1,'Data-TED-1'!$Y:$Y,"40%")</f>
        <v>0</v>
      </c>
      <c r="AC153" s="27" t="str">
        <f t="shared" si="545"/>
        <v/>
      </c>
      <c r="AD153" s="21">
        <f t="shared" si="560"/>
        <v>1</v>
      </c>
      <c r="AE153" s="21">
        <f>COUNTIFS('Data-TED-1'!$AH:$AH,AD$1,'Data-TED-1'!$Y:$Y,"40%")</f>
        <v>0</v>
      </c>
      <c r="AF153" s="27">
        <f t="shared" si="546"/>
        <v>0</v>
      </c>
      <c r="AG153" s="21">
        <f t="shared" si="561"/>
        <v>0</v>
      </c>
      <c r="AH153" s="21">
        <f>COUNTIFS('Data-TED-1'!$AH:$AH,AG$1,'Data-TED-1'!$Y:$Y,"40%")</f>
        <v>0</v>
      </c>
      <c r="AI153" s="27" t="str">
        <f t="shared" si="547"/>
        <v/>
      </c>
      <c r="AJ153" s="21">
        <f t="shared" si="562"/>
        <v>0</v>
      </c>
      <c r="AK153" s="21">
        <f>COUNTIFS('Data-TED-1'!$AH:$AH,AJ$1,'Data-TED-1'!$Y:$Y,"40%")</f>
        <v>0</v>
      </c>
      <c r="AL153" s="27" t="str">
        <f t="shared" si="548"/>
        <v/>
      </c>
      <c r="AM153" s="21">
        <f t="shared" si="563"/>
        <v>0</v>
      </c>
      <c r="AN153" s="21">
        <f>COUNTIFS('Data-TED-1'!$AH:$AH,AM$1,'Data-TED-1'!$Y:$Y,"40%")</f>
        <v>0</v>
      </c>
      <c r="AO153" s="27" t="str">
        <f t="shared" si="549"/>
        <v/>
      </c>
    </row>
    <row r="154" spans="1:41" x14ac:dyDescent="0.3">
      <c r="A154" s="25"/>
      <c r="B154" s="26" t="s">
        <v>64</v>
      </c>
      <c r="C154" s="21">
        <f t="shared" si="551"/>
        <v>1</v>
      </c>
      <c r="D154" s="21">
        <f t="shared" si="550"/>
        <v>0</v>
      </c>
      <c r="E154" s="27">
        <f t="shared" si="457"/>
        <v>0</v>
      </c>
      <c r="F154" s="21">
        <f t="shared" si="552"/>
        <v>0</v>
      </c>
      <c r="G154" s="21">
        <f>COUNTIFS('Data-TED-1'!$AH:$AH,F$1,'Data-TED-1'!$Y:$Y,"20%")</f>
        <v>0</v>
      </c>
      <c r="H154" s="27" t="str">
        <f t="shared" si="458"/>
        <v/>
      </c>
      <c r="I154" s="21">
        <f t="shared" si="553"/>
        <v>0</v>
      </c>
      <c r="J154" s="21">
        <f>COUNTIFS('Data-TED-1'!$AH:$AH,I$1,'Data-TED-1'!$Y:$Y,"20%")</f>
        <v>0</v>
      </c>
      <c r="K154" s="27" t="str">
        <f t="shared" si="539"/>
        <v/>
      </c>
      <c r="L154" s="21">
        <f t="shared" si="554"/>
        <v>0</v>
      </c>
      <c r="M154" s="21">
        <f>COUNTIFS('Data-TED-1'!$AH:$AH,L$1,'Data-TED-1'!$Y:$Y,"20%")</f>
        <v>0</v>
      </c>
      <c r="N154" s="27" t="str">
        <f t="shared" si="540"/>
        <v/>
      </c>
      <c r="O154" s="21">
        <f t="shared" si="555"/>
        <v>0</v>
      </c>
      <c r="P154" s="21">
        <f>COUNTIFS('Data-TED-1'!$AH:$AH,O$1,'Data-TED-1'!$Y:$Y,"20%")</f>
        <v>0</v>
      </c>
      <c r="Q154" s="27" t="str">
        <f t="shared" si="541"/>
        <v/>
      </c>
      <c r="R154" s="21">
        <f t="shared" si="556"/>
        <v>0</v>
      </c>
      <c r="S154" s="21">
        <f>COUNTIFS('Data-TED-1'!$AH:$AH,R$1,'Data-TED-1'!$Y:$Y,"20%")</f>
        <v>0</v>
      </c>
      <c r="T154" s="27" t="str">
        <f t="shared" si="542"/>
        <v/>
      </c>
      <c r="U154" s="21">
        <f t="shared" si="557"/>
        <v>0</v>
      </c>
      <c r="V154" s="21">
        <f>COUNTIFS('Data-TED-1'!$AH:$AH,U$1,'Data-TED-1'!$Y:$Y,"20%")</f>
        <v>0</v>
      </c>
      <c r="W154" s="27" t="str">
        <f t="shared" si="543"/>
        <v/>
      </c>
      <c r="X154" s="21">
        <f t="shared" si="558"/>
        <v>0</v>
      </c>
      <c r="Y154" s="21">
        <f>COUNTIFS('Data-TED-1'!$AH:$AH,X$1,'Data-TED-1'!$Y:$Y,"20%")</f>
        <v>0</v>
      </c>
      <c r="Z154" s="27" t="str">
        <f t="shared" si="544"/>
        <v/>
      </c>
      <c r="AA154" s="21">
        <f t="shared" si="559"/>
        <v>0</v>
      </c>
      <c r="AB154" s="21">
        <f>COUNTIFS('Data-TED-1'!$AH:$AH,AA$1,'Data-TED-1'!$Y:$Y,"20%")</f>
        <v>0</v>
      </c>
      <c r="AC154" s="27" t="str">
        <f t="shared" si="545"/>
        <v/>
      </c>
      <c r="AD154" s="21">
        <f t="shared" si="560"/>
        <v>1</v>
      </c>
      <c r="AE154" s="21">
        <f>COUNTIFS('Data-TED-1'!$AH:$AH,AD$1,'Data-TED-1'!$Y:$Y,"20%")</f>
        <v>0</v>
      </c>
      <c r="AF154" s="27">
        <f t="shared" si="546"/>
        <v>0</v>
      </c>
      <c r="AG154" s="21">
        <f t="shared" si="561"/>
        <v>0</v>
      </c>
      <c r="AH154" s="21">
        <f>COUNTIFS('Data-TED-1'!$AH:$AH,AG$1,'Data-TED-1'!$Y:$Y,"20%")</f>
        <v>0</v>
      </c>
      <c r="AI154" s="27" t="str">
        <f t="shared" si="547"/>
        <v/>
      </c>
      <c r="AJ154" s="21">
        <f t="shared" si="562"/>
        <v>0</v>
      </c>
      <c r="AK154" s="21">
        <f>COUNTIFS('Data-TED-1'!$AH:$AH,AJ$1,'Data-TED-1'!$Y:$Y,"20%")</f>
        <v>0</v>
      </c>
      <c r="AL154" s="27" t="str">
        <f t="shared" si="548"/>
        <v/>
      </c>
      <c r="AM154" s="21">
        <f t="shared" si="563"/>
        <v>0</v>
      </c>
      <c r="AN154" s="21">
        <f>COUNTIFS('Data-TED-1'!$AH:$AH,AM$1,'Data-TED-1'!$Y:$Y,"20%")</f>
        <v>0</v>
      </c>
      <c r="AO154" s="27" t="str">
        <f t="shared" si="549"/>
        <v/>
      </c>
    </row>
    <row r="155" spans="1:41" x14ac:dyDescent="0.3">
      <c r="A155" s="20"/>
    </row>
    <row r="156" spans="1:41" x14ac:dyDescent="0.3">
      <c r="A156" s="20"/>
      <c r="B156" s="30"/>
    </row>
    <row r="157" spans="1:41" x14ac:dyDescent="0.3">
      <c r="A157" s="20"/>
    </row>
    <row r="158" spans="1:41" x14ac:dyDescent="0.3">
      <c r="A158" s="20"/>
    </row>
    <row r="159" spans="1:41" x14ac:dyDescent="0.3">
      <c r="A159" s="20"/>
    </row>
    <row r="160" spans="1:41" x14ac:dyDescent="0.3">
      <c r="A160" s="20"/>
    </row>
    <row r="161" spans="1:1" x14ac:dyDescent="0.3">
      <c r="A161" s="20"/>
    </row>
  </sheetData>
  <mergeCells count="13">
    <mergeCell ref="AJ1:AL1"/>
    <mergeCell ref="AM1:AO1"/>
    <mergeCell ref="U1:W1"/>
    <mergeCell ref="X1:Z1"/>
    <mergeCell ref="AA1:AC1"/>
    <mergeCell ref="AD1:AF1"/>
    <mergeCell ref="AG1:AI1"/>
    <mergeCell ref="L1:N1"/>
    <mergeCell ref="R1:T1"/>
    <mergeCell ref="A1:E1"/>
    <mergeCell ref="F1:H1"/>
    <mergeCell ref="I1:K1"/>
    <mergeCell ref="O1:Q1"/>
  </mergeCells>
  <pageMargins left="0.7" right="0.7" top="0.75" bottom="0.75" header="0.3" footer="0.3"/>
  <ignoredErrors>
    <ignoredError sqref="H117:AO11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00B0F0"/>
  </sheetPr>
  <dimension ref="A7:BH417"/>
  <sheetViews>
    <sheetView showGridLines="0" tabSelected="1" topLeftCell="A237" zoomScaleNormal="100" workbookViewId="0">
      <selection activeCell="S243" sqref="S243"/>
    </sheetView>
  </sheetViews>
  <sheetFormatPr defaultRowHeight="14.4" x14ac:dyDescent="0.3"/>
  <cols>
    <col min="1" max="1" width="28" customWidth="1"/>
    <col min="2" max="2" width="8.109375" bestFit="1" customWidth="1"/>
    <col min="3" max="3" width="7" bestFit="1" customWidth="1"/>
    <col min="4" max="4" width="7.109375" bestFit="1" customWidth="1"/>
    <col min="5" max="5" width="7.33203125" bestFit="1" customWidth="1"/>
    <col min="6" max="6" width="7.44140625" bestFit="1" customWidth="1"/>
    <col min="7" max="8" width="6.6640625" bestFit="1" customWidth="1"/>
    <col min="9" max="9" width="7.109375" bestFit="1" customWidth="1"/>
    <col min="10" max="11" width="7" bestFit="1" customWidth="1"/>
    <col min="12" max="12" width="7.33203125" bestFit="1" customWidth="1"/>
    <col min="13" max="13" width="7" bestFit="1" customWidth="1"/>
    <col min="14" max="14" width="7" hidden="1" customWidth="1"/>
    <col min="15" max="15" width="7.33203125" hidden="1" customWidth="1"/>
    <col min="16" max="16" width="5.6640625" customWidth="1"/>
    <col min="17" max="17" width="6.88671875" bestFit="1" customWidth="1"/>
    <col min="18" max="18" width="7" bestFit="1" customWidth="1"/>
    <col min="19" max="22" width="6.5546875" bestFit="1" customWidth="1"/>
    <col min="24" max="24" width="10.5546875" customWidth="1"/>
    <col min="31" max="31" width="24.88671875" bestFit="1" customWidth="1"/>
    <col min="46" max="46" width="16.77734375" bestFit="1" customWidth="1"/>
  </cols>
  <sheetData>
    <row r="7" ht="15.75" customHeight="1" x14ac:dyDescent="0.3"/>
    <row r="8" ht="15" customHeight="1" x14ac:dyDescent="0.3"/>
    <row r="9" ht="15.75" customHeight="1" x14ac:dyDescent="0.3"/>
    <row r="10" ht="21" customHeight="1" x14ac:dyDescent="0.3"/>
    <row r="11" ht="16.5" customHeight="1" x14ac:dyDescent="0.3"/>
    <row r="12" ht="23.25" customHeight="1" x14ac:dyDescent="0.3"/>
    <row r="22" spans="18:22" x14ac:dyDescent="0.3">
      <c r="R22" s="17"/>
      <c r="S22" s="17"/>
      <c r="T22" s="17"/>
      <c r="U22" s="17"/>
      <c r="V22" s="17"/>
    </row>
    <row r="46" spans="18:23" x14ac:dyDescent="0.3">
      <c r="W46" t="s">
        <v>157</v>
      </c>
    </row>
    <row r="48" spans="18:23" x14ac:dyDescent="0.3">
      <c r="R48" s="17"/>
      <c r="S48" s="17"/>
      <c r="T48" s="17"/>
      <c r="U48" s="17"/>
      <c r="V48" s="17"/>
    </row>
    <row r="51" spans="24:25" x14ac:dyDescent="0.3">
      <c r="X51" s="38" t="s">
        <v>125</v>
      </c>
      <c r="Y51" s="38" t="s">
        <v>124</v>
      </c>
    </row>
    <row r="52" spans="24:25" x14ac:dyDescent="0.3">
      <c r="X52" s="4" t="s">
        <v>46</v>
      </c>
      <c r="Y52" s="4">
        <f>COUNTIF('Data-TED-1'!$P:$P,"Yes")</f>
        <v>0</v>
      </c>
    </row>
    <row r="53" spans="24:25" x14ac:dyDescent="0.3">
      <c r="X53" s="4" t="s">
        <v>39</v>
      </c>
      <c r="Y53" s="4">
        <f>COUNTIF('Data-TED-1'!Q:Q,"Yes")</f>
        <v>0</v>
      </c>
    </row>
    <row r="54" spans="24:25" x14ac:dyDescent="0.3">
      <c r="X54" s="4" t="s">
        <v>40</v>
      </c>
      <c r="Y54" s="4">
        <f>COUNTIF('Data-TED-1'!R:R,"Yes")</f>
        <v>0</v>
      </c>
    </row>
    <row r="55" spans="24:25" x14ac:dyDescent="0.3">
      <c r="X55" s="4" t="s">
        <v>41</v>
      </c>
      <c r="Y55" s="4">
        <f>COUNTIF('Data-TED-1'!AI:AI,"Yes")</f>
        <v>0</v>
      </c>
    </row>
    <row r="56" spans="24:25" x14ac:dyDescent="0.3">
      <c r="X56" s="4" t="s">
        <v>42</v>
      </c>
      <c r="Y56" s="4">
        <f>COUNTIF('Data-TED-1'!T:T,"Yes")</f>
        <v>0</v>
      </c>
    </row>
    <row r="57" spans="24:25" x14ac:dyDescent="0.3">
      <c r="X57" s="4" t="s">
        <v>43</v>
      </c>
      <c r="Y57" s="4">
        <f>COUNTIF('Data-TED-1'!U:U,"Yes")</f>
        <v>0</v>
      </c>
    </row>
    <row r="58" spans="24:25" x14ac:dyDescent="0.3">
      <c r="X58" s="4" t="s">
        <v>44</v>
      </c>
      <c r="Y58" s="4">
        <f>COUNTIF('Data-TED-1'!V:V,"Yes")</f>
        <v>0</v>
      </c>
    </row>
    <row r="59" spans="24:25" x14ac:dyDescent="0.3">
      <c r="X59" s="4" t="s">
        <v>168</v>
      </c>
      <c r="Y59" s="4">
        <f>COUNTIF('Data-TED-1'!W:W,"Yes")</f>
        <v>0</v>
      </c>
    </row>
    <row r="214" spans="1:15" ht="22.5" customHeight="1" x14ac:dyDescent="0.3">
      <c r="A214" s="40" t="s">
        <v>170</v>
      </c>
    </row>
    <row r="215" spans="1:15" x14ac:dyDescent="0.3">
      <c r="A215" s="4"/>
      <c r="B215" s="9">
        <f>Graphs!B240</f>
        <v>45748</v>
      </c>
      <c r="C215" s="9">
        <f>Graphs!C240</f>
        <v>45778</v>
      </c>
      <c r="D215" s="9">
        <f>Graphs!D240</f>
        <v>45809</v>
      </c>
      <c r="E215" s="9">
        <f>Graphs!E240</f>
        <v>45839</v>
      </c>
      <c r="F215" s="9">
        <f>Graphs!F240</f>
        <v>45870</v>
      </c>
      <c r="G215" s="9">
        <f>Graphs!G240</f>
        <v>45901</v>
      </c>
      <c r="H215" s="9">
        <f>Graphs!H240</f>
        <v>45931</v>
      </c>
      <c r="I215" s="9">
        <f>Graphs!I240</f>
        <v>45962</v>
      </c>
      <c r="J215" s="9">
        <f>Graphs!J240</f>
        <v>45992</v>
      </c>
      <c r="K215" s="9">
        <f>Graphs!K240</f>
        <v>46023</v>
      </c>
      <c r="L215" s="9">
        <f>Graphs!L240</f>
        <v>46054</v>
      </c>
      <c r="M215" s="9">
        <f>Graphs!M240</f>
        <v>46082</v>
      </c>
      <c r="N215" s="9">
        <f>Graphs!N240</f>
        <v>46113</v>
      </c>
      <c r="O215" s="9">
        <f>Graphs!O240</f>
        <v>46143</v>
      </c>
    </row>
    <row r="216" spans="1:15" ht="27.6" x14ac:dyDescent="0.3">
      <c r="A216" s="22" t="s">
        <v>160</v>
      </c>
      <c r="B216" s="4"/>
      <c r="C216" s="4"/>
      <c r="D216" s="4"/>
      <c r="E216" s="4"/>
      <c r="F216" s="4"/>
      <c r="G216" s="4"/>
      <c r="H216" s="4"/>
      <c r="I216" s="4"/>
      <c r="J216" s="4"/>
      <c r="K216" s="4"/>
      <c r="L216" s="4"/>
      <c r="M216" s="4"/>
      <c r="N216" s="4"/>
      <c r="O216" s="4"/>
    </row>
    <row r="217" spans="1:15" x14ac:dyDescent="0.3">
      <c r="A217" s="33" t="s">
        <v>119</v>
      </c>
      <c r="B217" s="10">
        <f>'CSAT-AVH'!H3</f>
        <v>1</v>
      </c>
      <c r="C217" s="10" t="str">
        <f>'CSAT-AVH'!K3</f>
        <v/>
      </c>
      <c r="D217" s="10" t="str">
        <f>'CSAT-AVH'!N3</f>
        <v/>
      </c>
      <c r="E217" s="10" t="str">
        <f>'CSAT-AVH'!Q3</f>
        <v/>
      </c>
      <c r="F217" s="10" t="str">
        <f>'CSAT-AVH'!T3</f>
        <v/>
      </c>
      <c r="G217" s="10" t="str">
        <f>'CSAT-AVH'!W3</f>
        <v/>
      </c>
      <c r="H217" s="10" t="str">
        <f>'CSAT-AVH'!Z3</f>
        <v/>
      </c>
      <c r="I217" s="10" t="str">
        <f>'CSAT-AVH'!AC3</f>
        <v/>
      </c>
      <c r="J217" s="10" t="str">
        <f>'CSAT-AVH'!AF3</f>
        <v/>
      </c>
      <c r="K217" s="10" t="str">
        <f>'CSAT-AVH'!AI3</f>
        <v/>
      </c>
      <c r="L217" s="10" t="str">
        <f>'CSAT-AVH'!AL3</f>
        <v/>
      </c>
      <c r="M217" s="10" t="str">
        <f>'CSAT-AVH'!AO3</f>
        <v/>
      </c>
      <c r="N217" s="10" t="e">
        <f>'CSAT-AVH'!#REF!</f>
        <v>#REF!</v>
      </c>
      <c r="O217" s="10" t="e">
        <f>'CSAT-AVH'!#REF!</f>
        <v>#REF!</v>
      </c>
    </row>
    <row r="218" spans="1:15" x14ac:dyDescent="0.3">
      <c r="A218" s="33" t="s">
        <v>120</v>
      </c>
      <c r="B218" s="10">
        <f>'CSAT-AVH'!H4</f>
        <v>0</v>
      </c>
      <c r="C218" s="10" t="str">
        <f>'CSAT-AVH'!K4</f>
        <v/>
      </c>
      <c r="D218" s="10" t="str">
        <f>'CSAT-AVH'!N4</f>
        <v/>
      </c>
      <c r="E218" s="10" t="str">
        <f>'CSAT-AVH'!Q4</f>
        <v/>
      </c>
      <c r="F218" s="10" t="str">
        <f>'CSAT-AVH'!T4</f>
        <v/>
      </c>
      <c r="G218" s="10" t="str">
        <f>'CSAT-AVH'!W4</f>
        <v/>
      </c>
      <c r="H218" s="10" t="str">
        <f>'CSAT-AVH'!Z4</f>
        <v/>
      </c>
      <c r="I218" s="10" t="str">
        <f>'CSAT-AVH'!AC4</f>
        <v/>
      </c>
      <c r="J218" s="10" t="str">
        <f>'CSAT-AVH'!AF4</f>
        <v/>
      </c>
      <c r="K218" s="10" t="str">
        <f>'CSAT-AVH'!AI4</f>
        <v/>
      </c>
      <c r="L218" s="10" t="str">
        <f>'CSAT-AVH'!AL4</f>
        <v/>
      </c>
      <c r="M218" s="10" t="str">
        <f>'CSAT-AVH'!AO4</f>
        <v/>
      </c>
      <c r="N218" s="10" t="e">
        <f>'CSAT-AVH'!#REF!</f>
        <v>#REF!</v>
      </c>
      <c r="O218" s="10" t="e">
        <f>'CSAT-AVH'!#REF!</f>
        <v>#REF!</v>
      </c>
    </row>
    <row r="219" spans="1:15" x14ac:dyDescent="0.3">
      <c r="A219" s="33" t="s">
        <v>121</v>
      </c>
      <c r="B219" s="10">
        <f>'CSAT-AVH'!H5</f>
        <v>0</v>
      </c>
      <c r="C219" s="10" t="str">
        <f>'CSAT-AVH'!K5</f>
        <v/>
      </c>
      <c r="D219" s="10" t="str">
        <f>'CSAT-AVH'!N5</f>
        <v/>
      </c>
      <c r="E219" s="10" t="str">
        <f>'CSAT-AVH'!Q5</f>
        <v/>
      </c>
      <c r="F219" s="10" t="str">
        <f>'CSAT-AVH'!T5</f>
        <v/>
      </c>
      <c r="G219" s="10" t="str">
        <f>'CSAT-AVH'!W5</f>
        <v/>
      </c>
      <c r="H219" s="10" t="str">
        <f>'CSAT-AVH'!Z5</f>
        <v/>
      </c>
      <c r="I219" s="10" t="str">
        <f>'CSAT-AVH'!AC5</f>
        <v/>
      </c>
      <c r="J219" s="10" t="str">
        <f>'CSAT-AVH'!AF5</f>
        <v/>
      </c>
      <c r="K219" s="10" t="str">
        <f>'CSAT-AVH'!AI5</f>
        <v/>
      </c>
      <c r="L219" s="10" t="str">
        <f>'CSAT-AVH'!AL5</f>
        <v/>
      </c>
      <c r="M219" s="10" t="str">
        <f>'CSAT-AVH'!AO5</f>
        <v/>
      </c>
      <c r="N219" s="10" t="e">
        <f>'CSAT-AVH'!#REF!</f>
        <v>#REF!</v>
      </c>
      <c r="O219" s="10" t="e">
        <f>'CSAT-AVH'!#REF!</f>
        <v>#REF!</v>
      </c>
    </row>
    <row r="220" spans="1:15" x14ac:dyDescent="0.3">
      <c r="A220" s="33" t="s">
        <v>122</v>
      </c>
      <c r="B220" s="10">
        <f>'CSAT-AVH'!H6</f>
        <v>0</v>
      </c>
      <c r="C220" s="10" t="str">
        <f>'CSAT-AVH'!K6</f>
        <v/>
      </c>
      <c r="D220" s="10" t="str">
        <f>'CSAT-AVH'!N6</f>
        <v/>
      </c>
      <c r="E220" s="10" t="str">
        <f>'CSAT-AVH'!Q6</f>
        <v/>
      </c>
      <c r="F220" s="10" t="str">
        <f>'CSAT-AVH'!T6</f>
        <v/>
      </c>
      <c r="G220" s="10" t="str">
        <f>'CSAT-AVH'!W6</f>
        <v/>
      </c>
      <c r="H220" s="10" t="str">
        <f>'CSAT-AVH'!Z6</f>
        <v/>
      </c>
      <c r="I220" s="10" t="str">
        <f>'CSAT-AVH'!AC6</f>
        <v/>
      </c>
      <c r="J220" s="10" t="str">
        <f>'CSAT-AVH'!AF6</f>
        <v/>
      </c>
      <c r="K220" s="10" t="str">
        <f>'CSAT-AVH'!AI6</f>
        <v/>
      </c>
      <c r="L220" s="10" t="str">
        <f>'CSAT-AVH'!AL6</f>
        <v/>
      </c>
      <c r="M220" s="10" t="str">
        <f>'CSAT-AVH'!AO6</f>
        <v/>
      </c>
      <c r="N220" s="10" t="e">
        <f>'CSAT-AVH'!#REF!</f>
        <v>#REF!</v>
      </c>
      <c r="O220" s="10" t="e">
        <f>'CSAT-AVH'!#REF!</f>
        <v>#REF!</v>
      </c>
    </row>
    <row r="221" spans="1:15" x14ac:dyDescent="0.3">
      <c r="A221" s="33" t="s">
        <v>123</v>
      </c>
      <c r="B221" s="10">
        <f>'CSAT-AVH'!H7</f>
        <v>0</v>
      </c>
      <c r="C221" s="10" t="str">
        <f>'CSAT-AVH'!K7</f>
        <v/>
      </c>
      <c r="D221" s="10" t="str">
        <f>'CSAT-AVH'!N7</f>
        <v/>
      </c>
      <c r="E221" s="10" t="str">
        <f>'CSAT-AVH'!Q7</f>
        <v/>
      </c>
      <c r="F221" s="10" t="str">
        <f>'CSAT-AVH'!T7</f>
        <v/>
      </c>
      <c r="G221" s="10" t="str">
        <f>'CSAT-AVH'!W7</f>
        <v/>
      </c>
      <c r="H221" s="10" t="str">
        <f>'CSAT-AVH'!Z7</f>
        <v/>
      </c>
      <c r="I221" s="10" t="str">
        <f>'CSAT-AVH'!AC7</f>
        <v/>
      </c>
      <c r="J221" s="10" t="str">
        <f>'CSAT-AVH'!AF7</f>
        <v/>
      </c>
      <c r="K221" s="10" t="str">
        <f>'CSAT-AVH'!AI7</f>
        <v/>
      </c>
      <c r="L221" s="10" t="str">
        <f>'CSAT-AVH'!AL7</f>
        <v/>
      </c>
      <c r="M221" s="10" t="str">
        <f>'CSAT-AVH'!AO7</f>
        <v/>
      </c>
      <c r="N221" s="10" t="e">
        <f>'CSAT-AVH'!#REF!</f>
        <v>#REF!</v>
      </c>
      <c r="O221" s="10" t="e">
        <f>'CSAT-AVH'!#REF!</f>
        <v>#REF!</v>
      </c>
    </row>
    <row r="222" spans="1:15" ht="18" x14ac:dyDescent="0.3">
      <c r="A222" s="40" t="s">
        <v>87</v>
      </c>
    </row>
    <row r="223" spans="1:15" x14ac:dyDescent="0.3">
      <c r="A223" s="4"/>
      <c r="B223" s="9">
        <f>Graphs!B240</f>
        <v>45748</v>
      </c>
      <c r="C223" s="9">
        <f>Graphs!C240</f>
        <v>45778</v>
      </c>
      <c r="D223" s="9">
        <f>Graphs!D240</f>
        <v>45809</v>
      </c>
      <c r="E223" s="9">
        <f>Graphs!E240</f>
        <v>45839</v>
      </c>
      <c r="F223" s="9">
        <f>Graphs!F240</f>
        <v>45870</v>
      </c>
      <c r="G223" s="9">
        <f>Graphs!G240</f>
        <v>45901</v>
      </c>
      <c r="H223" s="9">
        <f>Graphs!H240</f>
        <v>45931</v>
      </c>
      <c r="I223" s="9">
        <f>Graphs!I240</f>
        <v>45962</v>
      </c>
      <c r="J223" s="9">
        <f>Graphs!J240</f>
        <v>45992</v>
      </c>
      <c r="K223" s="9">
        <f>Graphs!K240</f>
        <v>46023</v>
      </c>
      <c r="L223" s="9">
        <f>Graphs!L240</f>
        <v>46054</v>
      </c>
      <c r="M223" s="9">
        <f>Graphs!M240</f>
        <v>46082</v>
      </c>
      <c r="N223" s="9">
        <f>Graphs!N240</f>
        <v>46113</v>
      </c>
      <c r="O223" s="9">
        <f>Graphs!O240</f>
        <v>46143</v>
      </c>
    </row>
    <row r="224" spans="1:15" ht="41.4" x14ac:dyDescent="0.3">
      <c r="A224" s="22" t="s">
        <v>87</v>
      </c>
      <c r="B224" s="4"/>
      <c r="C224" s="4"/>
      <c r="D224" s="4"/>
      <c r="E224" s="4"/>
      <c r="F224" s="4"/>
      <c r="G224" s="4"/>
      <c r="H224" s="4"/>
      <c r="I224" s="4"/>
      <c r="J224" s="4"/>
      <c r="K224" s="4"/>
      <c r="L224" s="4"/>
      <c r="M224" s="4"/>
      <c r="N224" s="4"/>
      <c r="O224" s="4"/>
    </row>
    <row r="225" spans="1:15" x14ac:dyDescent="0.3">
      <c r="A225" s="33" t="s">
        <v>120</v>
      </c>
      <c r="B225" s="10" t="str">
        <f>'CSAT-AVH'!H112</f>
        <v/>
      </c>
      <c r="C225" s="10" t="str">
        <f>'CSAT-AVH'!K112</f>
        <v/>
      </c>
      <c r="D225" s="10" t="str">
        <f>'CSAT-AVH'!N112</f>
        <v/>
      </c>
      <c r="E225" s="10" t="str">
        <f>'CSAT-AVH'!Q112</f>
        <v/>
      </c>
      <c r="F225" s="10" t="str">
        <f>'CSAT-AVH'!T112</f>
        <v/>
      </c>
      <c r="G225" s="10" t="str">
        <f>'CSAT-AVH'!W112</f>
        <v/>
      </c>
      <c r="H225" s="10" t="str">
        <f>'CSAT-AVH'!Z112</f>
        <v/>
      </c>
      <c r="I225" s="10" t="str">
        <f>'CSAT-AVH'!AC112</f>
        <v/>
      </c>
      <c r="J225" s="10">
        <f>'CSAT-AVH'!AF112</f>
        <v>1</v>
      </c>
      <c r="K225" s="10" t="str">
        <f>'CSAT-AVH'!AI112</f>
        <v/>
      </c>
      <c r="L225" s="10" t="str">
        <f>'CSAT-AVH'!AL112</f>
        <v/>
      </c>
      <c r="M225" s="10" t="str">
        <f>'CSAT-AVH'!AO112</f>
        <v/>
      </c>
      <c r="N225" s="10" t="e">
        <f>'CSAT-AVH'!#REF!</f>
        <v>#REF!</v>
      </c>
      <c r="O225" s="10" t="e">
        <f>'CSAT-AVH'!#REF!</f>
        <v>#REF!</v>
      </c>
    </row>
    <row r="226" spans="1:15" x14ac:dyDescent="0.3">
      <c r="A226" s="33" t="s">
        <v>119</v>
      </c>
      <c r="B226" s="10" t="str">
        <f>'CSAT-AVH'!H111</f>
        <v/>
      </c>
      <c r="C226" s="10" t="str">
        <f>'CSAT-AVH'!K111</f>
        <v/>
      </c>
      <c r="D226" s="10" t="str">
        <f>'CSAT-AVH'!N111</f>
        <v/>
      </c>
      <c r="E226" s="10" t="str">
        <f>'CSAT-AVH'!Q111</f>
        <v/>
      </c>
      <c r="F226" s="10" t="str">
        <f>'CSAT-AVH'!T111</f>
        <v/>
      </c>
      <c r="G226" s="10" t="str">
        <f>'CSAT-AVH'!W111</f>
        <v/>
      </c>
      <c r="H226" s="10" t="str">
        <f>'CSAT-AVH'!Z111</f>
        <v/>
      </c>
      <c r="I226" s="10" t="str">
        <f>'CSAT-AVH'!AC111</f>
        <v/>
      </c>
      <c r="J226" s="10">
        <f>'CSAT-AVH'!AF111</f>
        <v>0</v>
      </c>
      <c r="K226" s="10" t="str">
        <f>'CSAT-AVH'!AI111</f>
        <v/>
      </c>
      <c r="L226" s="10" t="str">
        <f>'CSAT-AVH'!AL111</f>
        <v/>
      </c>
      <c r="M226" s="10" t="str">
        <f>'CSAT-AVH'!AO111</f>
        <v/>
      </c>
      <c r="N226" s="10" t="e">
        <f>'CSAT-AVH'!#REF!</f>
        <v>#REF!</v>
      </c>
      <c r="O226" s="10" t="e">
        <f>'CSAT-AVH'!#REF!</f>
        <v>#REF!</v>
      </c>
    </row>
    <row r="227" spans="1:15" x14ac:dyDescent="0.3">
      <c r="A227" s="33" t="s">
        <v>121</v>
      </c>
      <c r="B227" s="10" t="str">
        <f>'CSAT-AVH'!H113</f>
        <v/>
      </c>
      <c r="C227" s="10" t="str">
        <f>'CSAT-AVH'!K113</f>
        <v/>
      </c>
      <c r="D227" s="10" t="str">
        <f>'CSAT-AVH'!N113</f>
        <v/>
      </c>
      <c r="E227" s="10" t="str">
        <f>'CSAT-AVH'!Q113</f>
        <v/>
      </c>
      <c r="F227" s="10" t="str">
        <f>'CSAT-AVH'!T113</f>
        <v/>
      </c>
      <c r="G227" s="10" t="str">
        <f>'CSAT-AVH'!W113</f>
        <v/>
      </c>
      <c r="H227" s="10" t="str">
        <f>'CSAT-AVH'!Z113</f>
        <v/>
      </c>
      <c r="I227" s="10" t="str">
        <f>'CSAT-AVH'!AC113</f>
        <v/>
      </c>
      <c r="J227" s="10">
        <f>'CSAT-AVH'!AF113</f>
        <v>0</v>
      </c>
      <c r="K227" s="10" t="str">
        <f>'CSAT-AVH'!AI113</f>
        <v/>
      </c>
      <c r="L227" s="10" t="str">
        <f>'CSAT-AVH'!AL113</f>
        <v/>
      </c>
      <c r="M227" s="10" t="str">
        <f>'CSAT-AVH'!AO113</f>
        <v/>
      </c>
      <c r="N227" s="10" t="e">
        <f>'CSAT-AVH'!#REF!</f>
        <v>#REF!</v>
      </c>
      <c r="O227" s="10" t="e">
        <f>'CSAT-AVH'!#REF!</f>
        <v>#REF!</v>
      </c>
    </row>
    <row r="228" spans="1:15" x14ac:dyDescent="0.3">
      <c r="A228" s="33" t="s">
        <v>122</v>
      </c>
      <c r="B228" s="10" t="str">
        <f>'CSAT-AVH'!H114</f>
        <v/>
      </c>
      <c r="C228" s="10" t="str">
        <f>'CSAT-AVH'!K114</f>
        <v/>
      </c>
      <c r="D228" s="10" t="str">
        <f>'CSAT-AVH'!N114</f>
        <v/>
      </c>
      <c r="E228" s="10" t="str">
        <f>'CSAT-AVH'!Q114</f>
        <v/>
      </c>
      <c r="F228" s="10" t="str">
        <f>'CSAT-AVH'!T114</f>
        <v/>
      </c>
      <c r="G228" s="10" t="str">
        <f>'CSAT-AVH'!W114</f>
        <v/>
      </c>
      <c r="H228" s="10" t="str">
        <f>'CSAT-AVH'!Z114</f>
        <v/>
      </c>
      <c r="I228" s="10" t="str">
        <f>'CSAT-AVH'!AC114</f>
        <v/>
      </c>
      <c r="J228" s="10">
        <f>'CSAT-AVH'!AF114</f>
        <v>0</v>
      </c>
      <c r="K228" s="10" t="str">
        <f>'CSAT-AVH'!AI114</f>
        <v/>
      </c>
      <c r="L228" s="10" t="str">
        <f>'CSAT-AVH'!AL114</f>
        <v/>
      </c>
      <c r="M228" s="10" t="str">
        <f>'CSAT-AVH'!AO114</f>
        <v/>
      </c>
      <c r="N228" s="10" t="e">
        <f>'CSAT-AVH'!#REF!</f>
        <v>#REF!</v>
      </c>
      <c r="O228" s="10" t="e">
        <f>'CSAT-AVH'!#REF!</f>
        <v>#REF!</v>
      </c>
    </row>
    <row r="229" spans="1:15" x14ac:dyDescent="0.3">
      <c r="A229" s="33" t="s">
        <v>123</v>
      </c>
      <c r="B229" s="10" t="str">
        <f>'CSAT-AVH'!H115</f>
        <v/>
      </c>
      <c r="C229" s="10" t="str">
        <f>'CSAT-AVH'!K115</f>
        <v/>
      </c>
      <c r="D229" s="10" t="str">
        <f>'CSAT-AVH'!N115</f>
        <v/>
      </c>
      <c r="E229" s="10" t="str">
        <f>'CSAT-AVH'!Q115</f>
        <v/>
      </c>
      <c r="F229" s="10" t="str">
        <f>'CSAT-AVH'!T115</f>
        <v/>
      </c>
      <c r="G229" s="10" t="str">
        <f>'CSAT-AVH'!W115</f>
        <v/>
      </c>
      <c r="H229" s="10" t="str">
        <f>'CSAT-AVH'!Z115</f>
        <v/>
      </c>
      <c r="I229" s="10" t="str">
        <f>'CSAT-AVH'!AC115</f>
        <v/>
      </c>
      <c r="J229" s="10">
        <f>'CSAT-AVH'!AF115</f>
        <v>0</v>
      </c>
      <c r="K229" s="10" t="str">
        <f>'CSAT-AVH'!AI115</f>
        <v/>
      </c>
      <c r="L229" s="10" t="str">
        <f>'CSAT-AVH'!AL115</f>
        <v/>
      </c>
      <c r="M229" s="10" t="str">
        <f>'CSAT-AVH'!AO115</f>
        <v/>
      </c>
      <c r="N229" s="10" t="e">
        <f>'CSAT-AVH'!#REF!</f>
        <v>#REF!</v>
      </c>
      <c r="O229" s="10" t="e">
        <f>'CSAT-AVH'!#REF!</f>
        <v>#REF!</v>
      </c>
    </row>
    <row r="231" spans="1:15" ht="18" x14ac:dyDescent="0.3">
      <c r="A231" s="40" t="s">
        <v>90</v>
      </c>
    </row>
    <row r="232" spans="1:15" x14ac:dyDescent="0.3">
      <c r="A232" s="4"/>
      <c r="B232" s="9">
        <f>Graphs!B240</f>
        <v>45748</v>
      </c>
      <c r="C232" s="9">
        <f>Graphs!C240</f>
        <v>45778</v>
      </c>
      <c r="D232" s="9">
        <f>Graphs!D240</f>
        <v>45809</v>
      </c>
      <c r="E232" s="9">
        <f>Graphs!E240</f>
        <v>45839</v>
      </c>
      <c r="F232" s="9">
        <f>Graphs!F240</f>
        <v>45870</v>
      </c>
      <c r="G232" s="9">
        <f>Graphs!G240</f>
        <v>45901</v>
      </c>
      <c r="H232" s="9">
        <f>Graphs!H240</f>
        <v>45931</v>
      </c>
      <c r="I232" s="9">
        <f>Graphs!I240</f>
        <v>45962</v>
      </c>
      <c r="J232" s="9">
        <f>Graphs!J240</f>
        <v>45992</v>
      </c>
      <c r="K232" s="9">
        <f>Graphs!K240</f>
        <v>46023</v>
      </c>
      <c r="L232" s="9">
        <f>Graphs!L240</f>
        <v>46054</v>
      </c>
      <c r="M232" s="9">
        <f>Graphs!M240</f>
        <v>46082</v>
      </c>
      <c r="N232" s="9">
        <f>Graphs!N240</f>
        <v>46113</v>
      </c>
      <c r="O232" s="9">
        <f>Graphs!O240</f>
        <v>46143</v>
      </c>
    </row>
    <row r="233" spans="1:15" ht="41.4" x14ac:dyDescent="0.3">
      <c r="A233" s="2" t="s">
        <v>90</v>
      </c>
      <c r="B233" s="4"/>
      <c r="C233" s="4"/>
      <c r="D233" s="4"/>
      <c r="E233" s="4"/>
      <c r="F233" s="4"/>
      <c r="G233" s="4"/>
      <c r="H233" s="4"/>
      <c r="I233" s="4"/>
      <c r="J233" s="4"/>
      <c r="K233" s="4"/>
      <c r="L233" s="4"/>
      <c r="M233" s="4"/>
      <c r="N233" s="4"/>
      <c r="O233" s="4"/>
    </row>
    <row r="234" spans="1:15" x14ac:dyDescent="0.3">
      <c r="A234" s="4" t="s">
        <v>61</v>
      </c>
      <c r="B234" s="10" t="str">
        <f>'CSAT-AVH'!H151</f>
        <v/>
      </c>
      <c r="C234" s="10" t="str">
        <f>'CSAT-AVH'!K151</f>
        <v/>
      </c>
      <c r="D234" s="10" t="str">
        <f>'CSAT-AVH'!N151</f>
        <v/>
      </c>
      <c r="E234" s="10" t="str">
        <f>'CSAT-AVH'!Q151</f>
        <v/>
      </c>
      <c r="F234" s="10" t="str">
        <f>'CSAT-AVH'!T151</f>
        <v/>
      </c>
      <c r="G234" s="10" t="str">
        <f>'CSAT-AVH'!W151</f>
        <v/>
      </c>
      <c r="H234" s="10" t="str">
        <f>'CSAT-AVH'!Z151</f>
        <v/>
      </c>
      <c r="I234" s="10" t="str">
        <f>'CSAT-AVH'!AC151</f>
        <v/>
      </c>
      <c r="J234" s="10">
        <f>'CSAT-AVH'!AF151</f>
        <v>0</v>
      </c>
      <c r="K234" s="10" t="str">
        <f>'CSAT-AVH'!AI151</f>
        <v/>
      </c>
      <c r="L234" s="10" t="str">
        <f>'CSAT-AVH'!AL151</f>
        <v/>
      </c>
      <c r="M234" s="10" t="str">
        <f>'CSAT-AVH'!AO151</f>
        <v/>
      </c>
      <c r="N234" s="10" t="e">
        <f>'CSAT-AVH'!#REF!</f>
        <v>#REF!</v>
      </c>
      <c r="O234" s="10" t="e">
        <f>'CSAT-AVH'!#REF!</f>
        <v>#REF!</v>
      </c>
    </row>
    <row r="235" spans="1:15" x14ac:dyDescent="0.3">
      <c r="A235" s="4" t="s">
        <v>60</v>
      </c>
      <c r="B235" s="10" t="str">
        <f>'CSAT-AVH'!H150</f>
        <v/>
      </c>
      <c r="C235" s="10" t="str">
        <f>'CSAT-AVH'!K150</f>
        <v/>
      </c>
      <c r="D235" s="10" t="str">
        <f>'CSAT-AVH'!N150</f>
        <v/>
      </c>
      <c r="E235" s="10" t="str">
        <f>'CSAT-AVH'!Q150</f>
        <v/>
      </c>
      <c r="F235" s="10" t="str">
        <f>'CSAT-AVH'!T150</f>
        <v/>
      </c>
      <c r="G235" s="10" t="str">
        <f>'CSAT-AVH'!W150</f>
        <v/>
      </c>
      <c r="H235" s="10" t="str">
        <f>'CSAT-AVH'!Z150</f>
        <v/>
      </c>
      <c r="I235" s="10" t="str">
        <f>'CSAT-AVH'!AC150</f>
        <v/>
      </c>
      <c r="J235" s="10">
        <f>'CSAT-AVH'!AF150</f>
        <v>0</v>
      </c>
      <c r="K235" s="10" t="str">
        <f>'CSAT-AVH'!AI150</f>
        <v/>
      </c>
      <c r="L235" s="10" t="str">
        <f>'CSAT-AVH'!AL150</f>
        <v/>
      </c>
      <c r="M235" s="10" t="str">
        <f>'CSAT-AVH'!AO150</f>
        <v/>
      </c>
      <c r="N235" s="10" t="e">
        <f>'CSAT-AVH'!#REF!</f>
        <v>#REF!</v>
      </c>
      <c r="O235" s="10" t="e">
        <f>'CSAT-AVH'!#REF!</f>
        <v>#REF!</v>
      </c>
    </row>
    <row r="236" spans="1:15" x14ac:dyDescent="0.3">
      <c r="A236" s="4" t="s">
        <v>62</v>
      </c>
      <c r="B236" s="10" t="str">
        <f>'CSAT-AVH'!H152</f>
        <v/>
      </c>
      <c r="C236" s="10" t="str">
        <f>'CSAT-AVH'!K152</f>
        <v/>
      </c>
      <c r="D236" s="10" t="str">
        <f>'CSAT-AVH'!N152</f>
        <v/>
      </c>
      <c r="E236" s="10" t="str">
        <f>'CSAT-AVH'!Q152</f>
        <v/>
      </c>
      <c r="F236" s="10" t="str">
        <f>'CSAT-AVH'!T152</f>
        <v/>
      </c>
      <c r="G236" s="10" t="str">
        <f>'CSAT-AVH'!W152</f>
        <v/>
      </c>
      <c r="H236" s="10" t="str">
        <f>'CSAT-AVH'!Z152</f>
        <v/>
      </c>
      <c r="I236" s="10" t="str">
        <f>'CSAT-AVH'!AC152</f>
        <v/>
      </c>
      <c r="J236" s="10">
        <f>'CSAT-AVH'!AF152</f>
        <v>1</v>
      </c>
      <c r="K236" s="10" t="str">
        <f>'CSAT-AVH'!AI152</f>
        <v/>
      </c>
      <c r="L236" s="10" t="str">
        <f>'CSAT-AVH'!AL152</f>
        <v/>
      </c>
      <c r="M236" s="10" t="str">
        <f>'CSAT-AVH'!AO152</f>
        <v/>
      </c>
      <c r="N236" s="10" t="e">
        <f>'CSAT-AVH'!#REF!</f>
        <v>#REF!</v>
      </c>
      <c r="O236" s="10" t="e">
        <f>'CSAT-AVH'!#REF!</f>
        <v>#REF!</v>
      </c>
    </row>
    <row r="237" spans="1:15" x14ac:dyDescent="0.3">
      <c r="A237" s="4" t="s">
        <v>63</v>
      </c>
      <c r="B237" s="10" t="str">
        <f>'CSAT-AVH'!H153</f>
        <v/>
      </c>
      <c r="C237" s="10" t="str">
        <f>'CSAT-AVH'!K153</f>
        <v/>
      </c>
      <c r="D237" s="10" t="str">
        <f>'CSAT-AVH'!N153</f>
        <v/>
      </c>
      <c r="E237" s="10" t="str">
        <f>'CSAT-AVH'!Q153</f>
        <v/>
      </c>
      <c r="F237" s="10" t="str">
        <f>'CSAT-AVH'!T153</f>
        <v/>
      </c>
      <c r="G237" s="10" t="str">
        <f>'CSAT-AVH'!W153</f>
        <v/>
      </c>
      <c r="H237" s="10" t="str">
        <f>'CSAT-AVH'!Z153</f>
        <v/>
      </c>
      <c r="I237" s="10" t="str">
        <f>'CSAT-AVH'!AC153</f>
        <v/>
      </c>
      <c r="J237" s="10">
        <f>'CSAT-AVH'!AF153</f>
        <v>0</v>
      </c>
      <c r="K237" s="10" t="str">
        <f>'CSAT-AVH'!AI153</f>
        <v/>
      </c>
      <c r="L237" s="10" t="str">
        <f>'CSAT-AVH'!AL153</f>
        <v/>
      </c>
      <c r="M237" s="10" t="str">
        <f>'CSAT-AVH'!AO153</f>
        <v/>
      </c>
      <c r="N237" s="10" t="e">
        <f>'CSAT-AVH'!#REF!</f>
        <v>#REF!</v>
      </c>
      <c r="O237" s="10" t="e">
        <f>'CSAT-AVH'!#REF!</f>
        <v>#REF!</v>
      </c>
    </row>
    <row r="238" spans="1:15" x14ac:dyDescent="0.3">
      <c r="A238" s="4" t="s">
        <v>64</v>
      </c>
      <c r="B238" s="10" t="str">
        <f>'CSAT-AVH'!H154</f>
        <v/>
      </c>
      <c r="C238" s="10" t="str">
        <f>'CSAT-AVH'!K154</f>
        <v/>
      </c>
      <c r="D238" s="10" t="str">
        <f>'CSAT-AVH'!N154</f>
        <v/>
      </c>
      <c r="E238" s="10" t="str">
        <f>'CSAT-AVH'!Q154</f>
        <v/>
      </c>
      <c r="F238" s="10" t="str">
        <f>'CSAT-AVH'!T154</f>
        <v/>
      </c>
      <c r="G238" s="10" t="str">
        <f>'CSAT-AVH'!W154</f>
        <v/>
      </c>
      <c r="H238" s="10" t="str">
        <f>'CSAT-AVH'!Z154</f>
        <v/>
      </c>
      <c r="I238" s="10" t="str">
        <f>'CSAT-AVH'!AC154</f>
        <v/>
      </c>
      <c r="J238" s="10">
        <f>'CSAT-AVH'!AF154</f>
        <v>0</v>
      </c>
      <c r="K238" s="10" t="str">
        <f>'CSAT-AVH'!AI154</f>
        <v/>
      </c>
      <c r="L238" s="10" t="str">
        <f>'CSAT-AVH'!AL154</f>
        <v/>
      </c>
      <c r="M238" s="10" t="str">
        <f>'CSAT-AVH'!AO154</f>
        <v/>
      </c>
      <c r="N238" s="10" t="e">
        <f>'CSAT-AVH'!#REF!</f>
        <v>#REF!</v>
      </c>
      <c r="O238" s="10" t="e">
        <f>'CSAT-AVH'!#REF!</f>
        <v>#REF!</v>
      </c>
    </row>
    <row r="239" spans="1:15" ht="18" x14ac:dyDescent="0.3">
      <c r="A239" s="40" t="s">
        <v>184</v>
      </c>
    </row>
    <row r="240" spans="1:15" x14ac:dyDescent="0.3">
      <c r="A240" s="4" t="s">
        <v>183</v>
      </c>
      <c r="B240" s="9">
        <f>'CSAT-AVH'!F1</f>
        <v>45748</v>
      </c>
      <c r="C240" s="9">
        <f>EDATE(B240,1)</f>
        <v>45778</v>
      </c>
      <c r="D240" s="9">
        <f t="shared" ref="D240:O240" si="0">EDATE(C240,1)</f>
        <v>45809</v>
      </c>
      <c r="E240" s="9">
        <f t="shared" si="0"/>
        <v>45839</v>
      </c>
      <c r="F240" s="9">
        <f t="shared" si="0"/>
        <v>45870</v>
      </c>
      <c r="G240" s="9">
        <f t="shared" si="0"/>
        <v>45901</v>
      </c>
      <c r="H240" s="9">
        <f t="shared" si="0"/>
        <v>45931</v>
      </c>
      <c r="I240" s="9">
        <f t="shared" si="0"/>
        <v>45962</v>
      </c>
      <c r="J240" s="9">
        <f t="shared" si="0"/>
        <v>45992</v>
      </c>
      <c r="K240" s="9">
        <f t="shared" si="0"/>
        <v>46023</v>
      </c>
      <c r="L240" s="9">
        <f t="shared" si="0"/>
        <v>46054</v>
      </c>
      <c r="M240" s="9">
        <f t="shared" si="0"/>
        <v>46082</v>
      </c>
      <c r="N240" s="9">
        <f t="shared" si="0"/>
        <v>46113</v>
      </c>
      <c r="O240" s="9">
        <f t="shared" si="0"/>
        <v>46143</v>
      </c>
    </row>
    <row r="241" spans="1:60" x14ac:dyDescent="0.3">
      <c r="A241" s="11" t="s">
        <v>112</v>
      </c>
      <c r="B241" s="12">
        <f>COUNTIF('Data-SO'!$AI:$AI,B$240)</f>
        <v>1</v>
      </c>
      <c r="C241" s="12">
        <f>COUNTIF('Data-SO'!$AI:$AI,C$240)</f>
        <v>0</v>
      </c>
      <c r="D241" s="12">
        <f>COUNTIF('Data-SO'!$AI:$AI,D$240)</f>
        <v>0</v>
      </c>
      <c r="E241" s="12">
        <f>COUNTIF('Data-SO'!$AI:$AI,E$240)</f>
        <v>0</v>
      </c>
      <c r="F241" s="12">
        <f>COUNTIF('Data-SO'!$AI:$AI,F$240)</f>
        <v>0</v>
      </c>
      <c r="G241" s="12">
        <f>COUNTIF('Data-SO'!$AI:$AI,G$240)</f>
        <v>0</v>
      </c>
      <c r="H241" s="12">
        <f>COUNTIF('Data-SO'!$AI:$AI,H$240)</f>
        <v>0</v>
      </c>
      <c r="I241" s="12">
        <f>COUNTIF('Data-SO'!$AI:$AI,I$240)</f>
        <v>0</v>
      </c>
      <c r="J241" s="12">
        <f>COUNTIF('Data-SO'!$AI:$AI,J$240)</f>
        <v>0</v>
      </c>
      <c r="K241" s="12">
        <f>COUNTIF('Data-SO'!$AI:$AI,K$240)</f>
        <v>0</v>
      </c>
      <c r="L241" s="12">
        <f>COUNTIF('Data-SO'!$AI:$AI,L$240)</f>
        <v>0</v>
      </c>
      <c r="M241" s="12">
        <f>COUNTIF('Data-SO'!$AI:$AI,M$240)</f>
        <v>0</v>
      </c>
      <c r="N241" s="12">
        <f>COUNTIF('Data-SO'!$AI:$AI,N$240)</f>
        <v>0</v>
      </c>
      <c r="O241" s="12">
        <f>COUNTIF('Data-SO'!$AI:$AI,O$240)</f>
        <v>0</v>
      </c>
      <c r="S241" s="43"/>
    </row>
    <row r="242" spans="1:60" x14ac:dyDescent="0.3">
      <c r="A242" s="11" t="s">
        <v>113</v>
      </c>
      <c r="B242" s="12">
        <f>COUNTIF('Data-SO'!$AJ:$AJ,B$240)</f>
        <v>1</v>
      </c>
      <c r="C242" s="12">
        <f>COUNTIF('Data-SO'!$AJ:$AJ,C$240)</f>
        <v>0</v>
      </c>
      <c r="D242" s="12">
        <f>COUNTIF('Data-SO'!$AJ:$AJ,D$240)</f>
        <v>0</v>
      </c>
      <c r="E242" s="12">
        <f>COUNTIF('Data-SO'!$AJ:$AJ,E$240)</f>
        <v>0</v>
      </c>
      <c r="F242" s="12">
        <f>COUNTIF('Data-SO'!$AJ:$AJ,F$240)</f>
        <v>0</v>
      </c>
      <c r="G242" s="12">
        <f>COUNTIF('Data-SO'!$AJ:$AJ,G$240)</f>
        <v>0</v>
      </c>
      <c r="H242" s="12">
        <f>COUNTIF('Data-SO'!$AJ:$AJ,H$240)</f>
        <v>0</v>
      </c>
      <c r="I242" s="12">
        <f>COUNTIF('Data-SO'!$AJ:$AJ,I$240)</f>
        <v>0</v>
      </c>
      <c r="J242" s="12">
        <f>COUNTIF('Data-SO'!$AJ:$AJ,J$240)</f>
        <v>0</v>
      </c>
      <c r="K242" s="12">
        <f>COUNTIF('Data-SO'!$AJ:$AJ,K$240)</f>
        <v>0</v>
      </c>
      <c r="L242" s="12">
        <f>COUNTIF('Data-SO'!$AJ:$AJ,L$240)</f>
        <v>0</v>
      </c>
      <c r="M242" s="12">
        <f>COUNTIF('Data-SO'!$AJ:$AJ,M$240)</f>
        <v>0</v>
      </c>
      <c r="N242" s="12">
        <f>COUNTIF('Data-SO'!$AJ:$AJ,N$240)</f>
        <v>0</v>
      </c>
      <c r="O242" s="12">
        <f>COUNTIF('Data-SO'!$AJ:$AJ,O$240)</f>
        <v>0</v>
      </c>
      <c r="S242" s="43"/>
    </row>
    <row r="243" spans="1:60" x14ac:dyDescent="0.3">
      <c r="A243" s="11" t="s">
        <v>110</v>
      </c>
      <c r="B243" s="12">
        <f>COUNTIF('Data-TSD+1'!$AC:$AC,B$240)</f>
        <v>1</v>
      </c>
      <c r="C243" s="12">
        <f>COUNTIF('Data-TSD+1'!$AC:$AC,C$240)</f>
        <v>0</v>
      </c>
      <c r="D243" s="12">
        <f>COUNTIF('Data-TSD+1'!$AC:$AC,D$240)</f>
        <v>0</v>
      </c>
      <c r="E243" s="12">
        <f>COUNTIF('Data-TSD+1'!$AC:$AC,E$240)</f>
        <v>0</v>
      </c>
      <c r="F243" s="12">
        <f>COUNTIF('Data-TSD+1'!$AC:$AC,F$240)</f>
        <v>0</v>
      </c>
      <c r="G243" s="12">
        <f>COUNTIF('Data-TSD+1'!$AC:$AC,G$240)</f>
        <v>0</v>
      </c>
      <c r="H243" s="12">
        <f>COUNTIF('Data-TSD+1'!$AC:$AC,H$240)</f>
        <v>0</v>
      </c>
      <c r="I243" s="12">
        <f>COUNTIF('Data-TSD+1'!$AC:$AC,I$240)</f>
        <v>0</v>
      </c>
      <c r="J243" s="12">
        <f>COUNTIF('Data-TSD+1'!$AC:$AC,J$240)</f>
        <v>0</v>
      </c>
      <c r="K243" s="12">
        <f>COUNTIF('Data-TSD+1'!$AC:$AC,K$240)</f>
        <v>0</v>
      </c>
      <c r="L243" s="12">
        <f>COUNTIF('Data-TSD+1'!$AC:$AC,L$240)</f>
        <v>0</v>
      </c>
      <c r="M243" s="12">
        <f>COUNTIF('Data-TSD+1'!$AC:$AC,M$240)</f>
        <v>0</v>
      </c>
      <c r="N243" s="12">
        <f>COUNTIF('Data-TSD+1'!$AC:$AC,N$240)</f>
        <v>0</v>
      </c>
      <c r="O243" s="12">
        <f>COUNTIF('Data-TSD+1'!$AC:$AC,O$240)</f>
        <v>0</v>
      </c>
      <c r="S243" s="43"/>
    </row>
    <row r="244" spans="1:60" x14ac:dyDescent="0.3">
      <c r="A244" s="11" t="s">
        <v>111</v>
      </c>
      <c r="B244" s="12">
        <f>COUNTIF('Data-TED-1'!$AH:$AH,B$240)</f>
        <v>0</v>
      </c>
      <c r="C244" s="12">
        <f>COUNTIF('Data-TED-1'!$AH:$AH,C$240)</f>
        <v>0</v>
      </c>
      <c r="D244" s="12">
        <f>COUNTIF('Data-TED-1'!$AH:$AH,D$240)</f>
        <v>0</v>
      </c>
      <c r="E244" s="12">
        <f>COUNTIF('Data-TED-1'!$AH:$AH,E$240)</f>
        <v>0</v>
      </c>
      <c r="F244" s="12">
        <f>COUNTIF('Data-TED-1'!$AH:$AH,F$240)</f>
        <v>0</v>
      </c>
      <c r="G244" s="12">
        <f>COUNTIF('Data-TED-1'!$AH:$AH,G$240)</f>
        <v>0</v>
      </c>
      <c r="H244" s="12">
        <f>COUNTIF('Data-TED-1'!$AH:$AH,H$240)</f>
        <v>0</v>
      </c>
      <c r="I244" s="12">
        <f>COUNTIF('Data-TED-1'!$AH:$AH,I$240)</f>
        <v>0</v>
      </c>
      <c r="J244" s="12">
        <f>COUNTIF('Data-TED-1'!$AH:$AH,J$240)</f>
        <v>1</v>
      </c>
      <c r="K244" s="12">
        <f>COUNTIF('Data-TED-1'!$AH:$AH,K$240)</f>
        <v>0</v>
      </c>
      <c r="L244" s="12">
        <f>COUNTIF('Data-TED-1'!$AH:$AH,L$240)</f>
        <v>0</v>
      </c>
      <c r="M244" s="12">
        <f>COUNTIF('Data-TED-1'!$AH:$AH,M$240)</f>
        <v>0</v>
      </c>
      <c r="N244" s="12">
        <f>COUNTIF('Data-TED-1'!$AH:$AH,N$240)</f>
        <v>0</v>
      </c>
      <c r="O244" s="12">
        <f>COUNTIF('Data-TED-1'!$AH:$AH,O$240)</f>
        <v>0</v>
      </c>
    </row>
    <row r="245" spans="1:60" x14ac:dyDescent="0.3">
      <c r="A245" s="4" t="s">
        <v>181</v>
      </c>
      <c r="B245" s="10">
        <f>IFERROR(B243/B241,0)</f>
        <v>1</v>
      </c>
      <c r="C245" s="10">
        <f t="shared" ref="C245:O245" si="1">IFERROR(C243/C241,0)</f>
        <v>0</v>
      </c>
      <c r="D245" s="10">
        <f t="shared" si="1"/>
        <v>0</v>
      </c>
      <c r="E245" s="10">
        <f t="shared" si="1"/>
        <v>0</v>
      </c>
      <c r="F245" s="10">
        <f t="shared" si="1"/>
        <v>0</v>
      </c>
      <c r="G245" s="10">
        <f t="shared" si="1"/>
        <v>0</v>
      </c>
      <c r="H245" s="10">
        <f t="shared" si="1"/>
        <v>0</v>
      </c>
      <c r="I245" s="10">
        <f t="shared" si="1"/>
        <v>0</v>
      </c>
      <c r="J245" s="10">
        <f t="shared" si="1"/>
        <v>0</v>
      </c>
      <c r="K245" s="10">
        <f t="shared" si="1"/>
        <v>0</v>
      </c>
      <c r="L245" s="10">
        <f t="shared" si="1"/>
        <v>0</v>
      </c>
      <c r="M245" s="10">
        <f t="shared" si="1"/>
        <v>0</v>
      </c>
      <c r="N245" s="10">
        <f t="shared" si="1"/>
        <v>0</v>
      </c>
      <c r="O245" s="10">
        <f t="shared" si="1"/>
        <v>0</v>
      </c>
    </row>
    <row r="246" spans="1:60" x14ac:dyDescent="0.3">
      <c r="A246" s="4" t="s">
        <v>182</v>
      </c>
      <c r="B246" s="10">
        <f>IFERROR(B244/B242,0)</f>
        <v>0</v>
      </c>
      <c r="C246" s="10">
        <f t="shared" ref="C246:M246" si="2">IFERROR(C244/C242,0)</f>
        <v>0</v>
      </c>
      <c r="D246" s="10">
        <f t="shared" si="2"/>
        <v>0</v>
      </c>
      <c r="E246" s="10">
        <f t="shared" si="2"/>
        <v>0</v>
      </c>
      <c r="F246" s="10">
        <f t="shared" si="2"/>
        <v>0</v>
      </c>
      <c r="G246" s="10">
        <f t="shared" si="2"/>
        <v>0</v>
      </c>
      <c r="H246" s="10">
        <f t="shared" si="2"/>
        <v>0</v>
      </c>
      <c r="I246" s="10">
        <f t="shared" si="2"/>
        <v>0</v>
      </c>
      <c r="J246" s="10">
        <f t="shared" si="2"/>
        <v>0</v>
      </c>
      <c r="K246" s="10">
        <f t="shared" si="2"/>
        <v>0</v>
      </c>
      <c r="L246" s="10">
        <f t="shared" si="2"/>
        <v>0</v>
      </c>
      <c r="M246" s="10">
        <f t="shared" si="2"/>
        <v>0</v>
      </c>
      <c r="N246" s="10" t="e">
        <f t="shared" ref="N246:O246" si="3">N244/N242</f>
        <v>#DIV/0!</v>
      </c>
      <c r="O246" s="10" t="e">
        <f t="shared" si="3"/>
        <v>#DIV/0!</v>
      </c>
    </row>
    <row r="247" spans="1:60" ht="18" x14ac:dyDescent="0.3">
      <c r="A247" s="40" t="s">
        <v>185</v>
      </c>
      <c r="B247" s="8"/>
      <c r="C247" s="8"/>
      <c r="D247" s="8"/>
      <c r="E247" s="8"/>
      <c r="F247" s="8"/>
      <c r="G247" s="8"/>
      <c r="H247" s="8"/>
      <c r="I247" s="8"/>
      <c r="J247" s="8"/>
      <c r="K247" s="8"/>
      <c r="L247" s="8"/>
      <c r="M247" s="8"/>
      <c r="N247" s="8"/>
      <c r="O247" s="8"/>
      <c r="Q247" s="8"/>
      <c r="R247" s="8"/>
      <c r="S247" s="8"/>
      <c r="T247" s="8"/>
      <c r="U247" s="8"/>
      <c r="V247" s="8"/>
      <c r="W247" s="8"/>
      <c r="X247" s="8"/>
      <c r="Y247" s="8"/>
      <c r="Z247" s="8"/>
      <c r="AA247" s="8"/>
      <c r="AB247" s="8"/>
      <c r="AC247" s="8"/>
      <c r="AD247" s="8"/>
      <c r="AF247" s="8"/>
      <c r="AG247" s="8"/>
      <c r="AH247" s="8"/>
      <c r="AI247" s="8"/>
      <c r="AJ247" s="8"/>
      <c r="AK247" s="8"/>
      <c r="AL247" s="8"/>
      <c r="AM247" s="8"/>
      <c r="AN247" s="8"/>
      <c r="AO247" s="8"/>
      <c r="AP247" s="8"/>
      <c r="AQ247" s="8"/>
      <c r="AR247" s="8"/>
      <c r="AS247" s="8"/>
      <c r="AU247" s="8"/>
      <c r="AV247" s="8"/>
      <c r="AW247" s="8"/>
      <c r="AX247" s="8"/>
      <c r="AY247" s="8"/>
      <c r="AZ247" s="8"/>
      <c r="BA247" s="8"/>
      <c r="BB247" s="8"/>
      <c r="BC247" s="8"/>
      <c r="BD247" s="8"/>
      <c r="BE247" s="8"/>
      <c r="BF247" s="8"/>
      <c r="BG247" s="8"/>
      <c r="BH247" s="8"/>
    </row>
    <row r="248" spans="1:60" x14ac:dyDescent="0.3">
      <c r="A248" s="4" t="s">
        <v>176</v>
      </c>
      <c r="B248" s="9">
        <f>B240</f>
        <v>45748</v>
      </c>
      <c r="C248" s="9">
        <f t="shared" ref="C248:O248" si="4">C240</f>
        <v>45778</v>
      </c>
      <c r="D248" s="9">
        <f t="shared" si="4"/>
        <v>45809</v>
      </c>
      <c r="E248" s="9">
        <f t="shared" si="4"/>
        <v>45839</v>
      </c>
      <c r="F248" s="9">
        <f t="shared" si="4"/>
        <v>45870</v>
      </c>
      <c r="G248" s="9">
        <f t="shared" si="4"/>
        <v>45901</v>
      </c>
      <c r="H248" s="9">
        <f t="shared" si="4"/>
        <v>45931</v>
      </c>
      <c r="I248" s="9">
        <f t="shared" si="4"/>
        <v>45962</v>
      </c>
      <c r="J248" s="9">
        <f t="shared" si="4"/>
        <v>45992</v>
      </c>
      <c r="K248" s="9">
        <f t="shared" si="4"/>
        <v>46023</v>
      </c>
      <c r="L248" s="9">
        <f t="shared" si="4"/>
        <v>46054</v>
      </c>
      <c r="M248" s="9">
        <f t="shared" si="4"/>
        <v>46082</v>
      </c>
      <c r="N248" s="9">
        <f t="shared" si="4"/>
        <v>46113</v>
      </c>
      <c r="O248" s="9">
        <f t="shared" si="4"/>
        <v>46143</v>
      </c>
      <c r="Q248" s="8"/>
      <c r="R248" s="8"/>
      <c r="S248" s="8"/>
      <c r="T248" s="8"/>
      <c r="U248" s="8"/>
      <c r="V248" s="8"/>
      <c r="W248" s="8"/>
      <c r="X248" s="8"/>
      <c r="Y248" s="8"/>
      <c r="Z248" s="8"/>
      <c r="AA248" s="8"/>
      <c r="AB248" s="8"/>
      <c r="AC248" s="8"/>
      <c r="AD248" s="8"/>
      <c r="AF248" s="8"/>
      <c r="AG248" s="8"/>
      <c r="AH248" s="8"/>
      <c r="AI248" s="8"/>
      <c r="AJ248" s="8"/>
      <c r="AK248" s="8"/>
      <c r="AL248" s="8"/>
      <c r="AM248" s="8"/>
      <c r="AN248" s="8"/>
      <c r="AO248" s="8"/>
      <c r="AP248" s="8"/>
      <c r="AQ248" s="8"/>
      <c r="AR248" s="8"/>
      <c r="AS248" s="8"/>
      <c r="AU248" s="8"/>
      <c r="AV248" s="8"/>
      <c r="AW248" s="8"/>
      <c r="AX248" s="8"/>
      <c r="AY248" s="8"/>
      <c r="AZ248" s="8"/>
      <c r="BA248" s="8"/>
      <c r="BB248" s="8"/>
      <c r="BC248" s="8"/>
      <c r="BD248" s="8"/>
      <c r="BE248" s="8"/>
      <c r="BF248" s="8"/>
      <c r="BG248" s="8"/>
      <c r="BH248" s="8"/>
    </row>
    <row r="249" spans="1:60" x14ac:dyDescent="0.3">
      <c r="A249" s="11" t="s">
        <v>112</v>
      </c>
      <c r="B249" s="12">
        <f>COUNTIFS('Data-SO'!AI:AI,B$248, 'Data-SO'!H:H, "IPT")</f>
        <v>0</v>
      </c>
      <c r="C249" s="12">
        <f>COUNTIFS('Data-SO'!AI:AI,C$248, 'Data-SO'!H:H, "IPT")</f>
        <v>0</v>
      </c>
      <c r="D249" s="12">
        <f>COUNTIFS('Data-SO'!AI:AI,D$248, 'Data-SO'!H:H, "IPT")</f>
        <v>0</v>
      </c>
      <c r="E249" s="12">
        <f>COUNTIFS('Data-SO'!AI:AI,E$248, 'Data-SO'!H:H, "IPT")</f>
        <v>0</v>
      </c>
      <c r="F249" s="12">
        <f>COUNTIFS('Data-SO'!AI:AI,F$248, 'Data-SO'!H:H, "IPT")</f>
        <v>0</v>
      </c>
      <c r="G249" s="12">
        <f>COUNTIFS('Data-SO'!AI:AI,G$248, 'Data-SO'!H:H, "IPT")</f>
        <v>0</v>
      </c>
      <c r="H249" s="12">
        <f>COUNTIFS('Data-SO'!AI:AI,H$248, 'Data-SO'!H:H, "IPT")</f>
        <v>0</v>
      </c>
      <c r="I249" s="12">
        <f>COUNTIFS('Data-SO'!AI:AI,I$248, 'Data-SO'!H:H, "IPT")</f>
        <v>0</v>
      </c>
      <c r="J249" s="12">
        <f>COUNTIFS('Data-SO'!AI:AI,J$248, 'Data-SO'!H:H, "IPT")</f>
        <v>0</v>
      </c>
      <c r="K249" s="12">
        <f>COUNTIFS('Data-SO'!AI:AI,K$248, 'Data-SO'!H:H, "IPT")</f>
        <v>0</v>
      </c>
      <c r="L249" s="12">
        <f>COUNTIFS('Data-SO'!AI:AI,L$248, 'Data-SO'!H:H, "IPT")</f>
        <v>0</v>
      </c>
      <c r="M249" s="12">
        <f>COUNTIFS('Data-SO'!AI:AI,M$248, 'Data-SO'!H:H, "IPT")</f>
        <v>0</v>
      </c>
      <c r="N249" s="12">
        <f>COUNTIFS('Data-SO'!AI:AI,N$248, 'Data-SO'!H:H, "IPT")</f>
        <v>0</v>
      </c>
      <c r="O249" s="12">
        <f>COUNTIFS('Data-SO'!AI:AI,O$248, 'Data-SO'!H:H, "IPT")</f>
        <v>0</v>
      </c>
      <c r="Q249" s="8"/>
      <c r="R249" s="8"/>
      <c r="S249" s="8"/>
      <c r="T249" s="8"/>
      <c r="U249" s="8"/>
      <c r="V249" s="8"/>
      <c r="W249" s="8"/>
      <c r="X249" s="8"/>
      <c r="Y249" s="8"/>
      <c r="Z249" s="8"/>
      <c r="AA249" s="8"/>
      <c r="AB249" s="8"/>
      <c r="AC249" s="8"/>
      <c r="AD249" s="8"/>
      <c r="AF249" s="8"/>
      <c r="AG249" s="8"/>
      <c r="AH249" s="8"/>
      <c r="AI249" s="8"/>
      <c r="AJ249" s="8"/>
      <c r="AK249" s="8"/>
      <c r="AL249" s="8"/>
      <c r="AM249" s="8"/>
      <c r="AN249" s="8"/>
      <c r="AO249" s="8"/>
      <c r="AP249" s="8"/>
      <c r="AQ249" s="8"/>
      <c r="AR249" s="8"/>
      <c r="AS249" s="8"/>
      <c r="AU249" s="8"/>
      <c r="AV249" s="8"/>
      <c r="AW249" s="8"/>
      <c r="AX249" s="8"/>
      <c r="AY249" s="8"/>
      <c r="AZ249" s="8"/>
      <c r="BA249" s="8"/>
      <c r="BB249" s="8"/>
      <c r="BC249" s="8"/>
      <c r="BD249" s="8"/>
      <c r="BE249" s="8"/>
      <c r="BF249" s="8"/>
      <c r="BG249" s="8"/>
      <c r="BH249" s="8"/>
    </row>
    <row r="250" spans="1:60" x14ac:dyDescent="0.3">
      <c r="A250" s="11" t="s">
        <v>113</v>
      </c>
      <c r="B250" s="12">
        <f>COUNTIFS('Data-SO'!AJ:AJ,B$248, 'Data-SO'!H:H, "IPT")</f>
        <v>0</v>
      </c>
      <c r="C250" s="12">
        <f>COUNTIFS('Data-SO'!AJ:AJ,C$248, 'Data-SO'!H:H, "IPT")</f>
        <v>0</v>
      </c>
      <c r="D250" s="12">
        <f>COUNTIFS('Data-SO'!AJ:AJ,D$248, 'Data-SO'!H:H, "IPT")</f>
        <v>0</v>
      </c>
      <c r="E250" s="12">
        <f>COUNTIFS('Data-SO'!AJ:AJ,E$248, 'Data-SO'!H:H, "IPT")</f>
        <v>0</v>
      </c>
      <c r="F250" s="12">
        <f>COUNTIFS('Data-SO'!AJ:AJ,F$248, 'Data-SO'!H:H, "IPT")</f>
        <v>0</v>
      </c>
      <c r="G250" s="12">
        <f>COUNTIFS('Data-SO'!AJ:AJ,G$248, 'Data-SO'!H:H, "IPT")</f>
        <v>0</v>
      </c>
      <c r="H250" s="12">
        <f>COUNTIFS('Data-SO'!AJ:AJ,H$248, 'Data-SO'!H:H, "IPT")</f>
        <v>0</v>
      </c>
      <c r="I250" s="12">
        <f>COUNTIFS('Data-SO'!AJ:AJ,I$248, 'Data-SO'!H:H, "IPT")</f>
        <v>0</v>
      </c>
      <c r="J250" s="12">
        <f>COUNTIFS('Data-SO'!AJ:AJ,J$248, 'Data-SO'!H:H, "IPT")</f>
        <v>0</v>
      </c>
      <c r="K250" s="12">
        <f>COUNTIFS('Data-SO'!AJ:AJ,K$248, 'Data-SO'!H:H, "IPT")</f>
        <v>0</v>
      </c>
      <c r="L250" s="12">
        <f>COUNTIFS('Data-SO'!AJ:AJ,L$248, 'Data-SO'!H:H, "IPT")</f>
        <v>0</v>
      </c>
      <c r="M250" s="12">
        <f>COUNTIFS('Data-SO'!AJ:AJ,M$248, 'Data-SO'!H:H, "IPT")</f>
        <v>0</v>
      </c>
      <c r="N250" s="12">
        <f>COUNTIFS('Data-SO'!AJ:AJ,N$248, 'Data-SO'!H:H, "IPT")</f>
        <v>0</v>
      </c>
      <c r="O250" s="12">
        <f>COUNTIFS('Data-SO'!AJ:AJ,O$248, 'Data-SO'!H:H, "IPT")</f>
        <v>0</v>
      </c>
      <c r="Q250" s="8"/>
      <c r="R250" s="8"/>
      <c r="S250" s="8"/>
      <c r="T250" s="8"/>
      <c r="U250" s="8"/>
      <c r="V250" s="8"/>
      <c r="W250" s="8"/>
      <c r="X250" s="8"/>
      <c r="Y250" s="8"/>
      <c r="Z250" s="8"/>
      <c r="AA250" s="8"/>
      <c r="AB250" s="8"/>
      <c r="AC250" s="8"/>
      <c r="AD250" s="8"/>
      <c r="AF250" s="8"/>
      <c r="AG250" s="8"/>
      <c r="AH250" s="8"/>
      <c r="AI250" s="8"/>
      <c r="AJ250" s="8"/>
      <c r="AK250" s="8"/>
      <c r="AL250" s="8"/>
      <c r="AM250" s="8"/>
      <c r="AN250" s="8"/>
      <c r="AO250" s="8"/>
      <c r="AP250" s="8"/>
      <c r="AQ250" s="8"/>
      <c r="AR250" s="8"/>
      <c r="AS250" s="8"/>
      <c r="AU250" s="8"/>
      <c r="AV250" s="8"/>
      <c r="AW250" s="8"/>
      <c r="AX250" s="8"/>
      <c r="AY250" s="8"/>
      <c r="AZ250" s="8"/>
      <c r="BA250" s="8"/>
      <c r="BB250" s="8"/>
      <c r="BC250" s="8"/>
      <c r="BD250" s="8"/>
      <c r="BE250" s="8"/>
      <c r="BF250" s="8"/>
      <c r="BG250" s="8"/>
      <c r="BH250" s="8"/>
    </row>
    <row r="251" spans="1:60" x14ac:dyDescent="0.3">
      <c r="A251" s="11" t="s">
        <v>110</v>
      </c>
      <c r="B251" s="4">
        <f>COUNTIFS('Data-TSD+1'!AC:AC, B248, 'Data-TSD+1'!AB:AB, "IPT")</f>
        <v>0</v>
      </c>
      <c r="C251" s="4">
        <f>COUNTIFS('Data-TSD+1'!AC:AC, C248, 'Data-TSD+1'!AB:AB, "IPT")</f>
        <v>0</v>
      </c>
      <c r="D251" s="46">
        <f>COUNTIFS('Data-TSD+1'!AC:AC, D248, 'Data-TSD+1'!AB:AB, "IPT")</f>
        <v>0</v>
      </c>
      <c r="E251" s="46">
        <f>COUNTIFS('Data-TSD+1'!AC:AC, E248, 'Data-TSD+1'!AB:AB, "IPT")</f>
        <v>0</v>
      </c>
      <c r="F251" s="46">
        <f>COUNTIFS('Data-TSD+1'!AC:AC, F248, 'Data-TSD+1'!AB:AB, "IPT")</f>
        <v>0</v>
      </c>
      <c r="G251" s="46">
        <f>COUNTIFS('Data-TSD+1'!AC:AC, G248, 'Data-TSD+1'!AB:AB, "IPT")</f>
        <v>0</v>
      </c>
      <c r="H251" s="46">
        <f>COUNTIFS('Data-TSD+1'!AC:AC, H248, 'Data-TSD+1'!AB:AB, "IPT")</f>
        <v>0</v>
      </c>
      <c r="I251" s="46">
        <f>COUNTIFS('Data-TSD+1'!AC:AC, I248, 'Data-TSD+1'!AB:AB, "IPT")</f>
        <v>0</v>
      </c>
      <c r="J251" s="46">
        <f>COUNTIFS('Data-TSD+1'!AC:AC, J248, 'Data-TSD+1'!AB:AB, "IPT")</f>
        <v>0</v>
      </c>
      <c r="K251" s="46">
        <f>COUNTIFS('Data-TSD+1'!AC:AC, K248, 'Data-TSD+1'!AB:AB, "IPT")</f>
        <v>0</v>
      </c>
      <c r="L251" s="46">
        <f>COUNTIFS('Data-TSD+1'!AC:AC, L248, 'Data-TSD+1'!AB:AB, "IPT")</f>
        <v>0</v>
      </c>
      <c r="M251" s="46">
        <f>COUNTIFS('Data-TSD+1'!AC:AC, M248, 'Data-TSD+1'!AB:AB, "IPT")</f>
        <v>0</v>
      </c>
      <c r="N251" s="46">
        <f>COUNTIFS('Data-TSD+1'!AC:AC, N248, 'Data-TSD+1'!AB:AB, "IPT")</f>
        <v>0</v>
      </c>
      <c r="O251" s="46">
        <f>COUNTIFS('Data-TSD+1'!AC:AC, O248, 'Data-TSD+1'!AB:AB, "IPT")</f>
        <v>0</v>
      </c>
      <c r="P251" s="8"/>
      <c r="R251" s="8"/>
      <c r="S251" s="8"/>
      <c r="T251" s="8"/>
      <c r="U251" s="8"/>
      <c r="V251" s="8"/>
      <c r="W251" s="8"/>
      <c r="X251" s="8"/>
      <c r="Y251" s="8"/>
      <c r="Z251" s="8"/>
      <c r="AA251" s="8"/>
      <c r="AB251" s="8"/>
      <c r="AC251" s="8"/>
      <c r="AD251" s="8"/>
      <c r="AE251" s="8"/>
      <c r="AG251" s="8"/>
      <c r="AH251" s="8"/>
      <c r="AI251" s="8"/>
      <c r="AJ251" s="8"/>
      <c r="AK251" s="8"/>
      <c r="AL251" s="8"/>
      <c r="AM251" s="8"/>
      <c r="AN251" s="8"/>
      <c r="AO251" s="8"/>
      <c r="AP251" s="8"/>
      <c r="AQ251" s="8"/>
      <c r="AR251" s="8"/>
      <c r="AS251" s="8"/>
      <c r="AT251" s="8"/>
    </row>
    <row r="252" spans="1:60" x14ac:dyDescent="0.3">
      <c r="A252" s="11" t="s">
        <v>111</v>
      </c>
      <c r="B252" s="4">
        <f>COUNTIFS('Data-TED-1'!AH:AH, B248, 'Data-TED-1'!AG:AG, "IPT")</f>
        <v>0</v>
      </c>
      <c r="C252" s="4">
        <f>COUNTIFS('Data-TED-1'!AH:AH, C248, 'Data-TED-1'!AG:AG, "IPT")</f>
        <v>0</v>
      </c>
      <c r="D252" s="46">
        <f>COUNTIFS('Data-TED-1'!AH:AH, D248, 'Data-TED-1'!AG:AG, "IPT")</f>
        <v>0</v>
      </c>
      <c r="E252" s="46">
        <f>COUNTIFS('Data-TED-1'!AH:AH, E248, 'Data-TED-1'!AG:AG, "IPT")</f>
        <v>0</v>
      </c>
      <c r="F252" s="46">
        <f>COUNTIFS('Data-TED-1'!AH:AH, F248, 'Data-TED-1'!AG:AG, "IPT")</f>
        <v>0</v>
      </c>
      <c r="G252" s="46">
        <f>COUNTIFS('Data-TED-1'!AH:AH, G248, 'Data-TED-1'!AG:AG, "IPT")</f>
        <v>0</v>
      </c>
      <c r="H252" s="46">
        <f>COUNTIFS('Data-TED-1'!AH:AH, H248, 'Data-TED-1'!AG:AG, "IPT")</f>
        <v>0</v>
      </c>
      <c r="I252" s="46">
        <f>COUNTIFS('Data-TED-1'!AH:AH, I248, 'Data-TED-1'!AG:AG, "IPT")</f>
        <v>0</v>
      </c>
      <c r="J252" s="46">
        <f>COUNTIFS('Data-TED-1'!AH:AH, J248, 'Data-TED-1'!AG:AG, "IPT")</f>
        <v>0</v>
      </c>
      <c r="K252" s="46">
        <f>COUNTIFS('Data-TED-1'!AH:AH, K248, 'Data-TED-1'!AG:AG, "IPT")</f>
        <v>0</v>
      </c>
      <c r="L252" s="46">
        <f>COUNTIFS('Data-TED-1'!AH:AH, L248, 'Data-TED-1'!AG:AG, "IPT")</f>
        <v>0</v>
      </c>
      <c r="M252" s="46">
        <f>COUNTIFS('Data-TED-1'!AH:AH, M248, 'Data-TED-1'!AG:AG, "IPT")</f>
        <v>0</v>
      </c>
      <c r="N252" s="46">
        <f>COUNTIFS('Data-TED-1'!AH:AH, N248, 'Data-TED-1'!AG:AG, "IPT")</f>
        <v>0</v>
      </c>
      <c r="O252" s="46">
        <f>COUNTIFS('Data-TED-1'!AH:AH, O248, 'Data-TED-1'!AG:AG, "IPT")</f>
        <v>0</v>
      </c>
      <c r="P252" s="8"/>
      <c r="R252" s="8"/>
      <c r="S252" s="8"/>
      <c r="T252" s="8"/>
      <c r="U252" s="8"/>
      <c r="V252" s="8"/>
      <c r="W252" s="8"/>
      <c r="X252" s="8"/>
      <c r="Y252" s="8"/>
      <c r="Z252" s="8"/>
      <c r="AA252" s="8"/>
      <c r="AB252" s="8"/>
      <c r="AC252" s="8"/>
      <c r="AD252" s="8"/>
      <c r="AE252" s="8"/>
      <c r="AG252" s="8"/>
      <c r="AH252" s="8"/>
      <c r="AI252" s="8"/>
      <c r="AJ252" s="8"/>
      <c r="AK252" s="8"/>
      <c r="AL252" s="8"/>
      <c r="AM252" s="8"/>
      <c r="AN252" s="8"/>
      <c r="AO252" s="8"/>
      <c r="AP252" s="8"/>
      <c r="AQ252" s="8"/>
      <c r="AR252" s="8"/>
      <c r="AS252" s="8"/>
      <c r="AT252" s="8"/>
    </row>
    <row r="253" spans="1:60" x14ac:dyDescent="0.3">
      <c r="A253" s="4" t="s">
        <v>179</v>
      </c>
      <c r="B253" s="10">
        <f>IFERROR(B251/B249,0)</f>
        <v>0</v>
      </c>
      <c r="C253" s="10">
        <f t="shared" ref="C253:O253" si="5">IFERROR(C251/C249,0)</f>
        <v>0</v>
      </c>
      <c r="D253" s="10">
        <f t="shared" si="5"/>
        <v>0</v>
      </c>
      <c r="E253" s="10">
        <f t="shared" si="5"/>
        <v>0</v>
      </c>
      <c r="F253" s="10">
        <f t="shared" si="5"/>
        <v>0</v>
      </c>
      <c r="G253" s="10">
        <f t="shared" si="5"/>
        <v>0</v>
      </c>
      <c r="H253" s="10">
        <f t="shared" si="5"/>
        <v>0</v>
      </c>
      <c r="I253" s="10">
        <f t="shared" si="5"/>
        <v>0</v>
      </c>
      <c r="J253" s="10">
        <f t="shared" si="5"/>
        <v>0</v>
      </c>
      <c r="K253" s="10">
        <f t="shared" si="5"/>
        <v>0</v>
      </c>
      <c r="L253" s="10">
        <f t="shared" si="5"/>
        <v>0</v>
      </c>
      <c r="M253" s="10">
        <f t="shared" si="5"/>
        <v>0</v>
      </c>
      <c r="N253" s="10">
        <f t="shared" si="5"/>
        <v>0</v>
      </c>
      <c r="O253" s="10">
        <f t="shared" si="5"/>
        <v>0</v>
      </c>
      <c r="Q253" s="8"/>
      <c r="R253" s="8"/>
      <c r="S253" s="8"/>
      <c r="T253" s="8"/>
      <c r="U253" s="8"/>
      <c r="V253" s="8"/>
      <c r="W253" s="8"/>
      <c r="X253" s="8"/>
      <c r="Y253" s="8"/>
      <c r="Z253" s="8"/>
      <c r="AA253" s="8"/>
      <c r="AB253" s="8"/>
      <c r="AC253" s="8"/>
      <c r="AD253" s="8"/>
      <c r="AF253" s="8"/>
      <c r="AG253" s="8"/>
      <c r="AH253" s="8"/>
      <c r="AI253" s="8"/>
      <c r="AJ253" s="8"/>
      <c r="AK253" s="8"/>
      <c r="AL253" s="8"/>
      <c r="AM253" s="8"/>
      <c r="AN253" s="8"/>
      <c r="AO253" s="8"/>
      <c r="AP253" s="8"/>
      <c r="AQ253" s="8"/>
      <c r="AR253" s="8"/>
      <c r="AS253" s="8"/>
      <c r="AU253" s="8"/>
      <c r="AV253" s="8"/>
      <c r="AW253" s="8"/>
      <c r="AX253" s="8"/>
      <c r="AY253" s="8"/>
      <c r="AZ253" s="8"/>
      <c r="BA253" s="8"/>
      <c r="BB253" s="8"/>
      <c r="BC253" s="8"/>
      <c r="BD253" s="8"/>
      <c r="BE253" s="8"/>
      <c r="BF253" s="8"/>
      <c r="BG253" s="8"/>
      <c r="BH253" s="8"/>
    </row>
    <row r="254" spans="1:60" x14ac:dyDescent="0.3">
      <c r="A254" s="4" t="s">
        <v>180</v>
      </c>
      <c r="B254" s="10">
        <f>IFERROR(B252/B250,0)</f>
        <v>0</v>
      </c>
      <c r="C254" s="10">
        <f t="shared" ref="C254:M254" si="6">IFERROR(C252/C250,0)</f>
        <v>0</v>
      </c>
      <c r="D254" s="10">
        <f t="shared" si="6"/>
        <v>0</v>
      </c>
      <c r="E254" s="10">
        <f t="shared" si="6"/>
        <v>0</v>
      </c>
      <c r="F254" s="10">
        <f t="shared" si="6"/>
        <v>0</v>
      </c>
      <c r="G254" s="10">
        <f t="shared" si="6"/>
        <v>0</v>
      </c>
      <c r="H254" s="10">
        <f t="shared" si="6"/>
        <v>0</v>
      </c>
      <c r="I254" s="10">
        <f t="shared" si="6"/>
        <v>0</v>
      </c>
      <c r="J254" s="10">
        <f t="shared" si="6"/>
        <v>0</v>
      </c>
      <c r="K254" s="10">
        <f t="shared" si="6"/>
        <v>0</v>
      </c>
      <c r="L254" s="10">
        <f t="shared" si="6"/>
        <v>0</v>
      </c>
      <c r="M254" s="10">
        <f t="shared" si="6"/>
        <v>0</v>
      </c>
      <c r="N254" s="10" t="e">
        <f t="shared" ref="N254:O254" si="7">N252/N250</f>
        <v>#DIV/0!</v>
      </c>
      <c r="O254" s="10" t="e">
        <f t="shared" si="7"/>
        <v>#DIV/0!</v>
      </c>
      <c r="Q254" s="8"/>
      <c r="R254" s="8"/>
      <c r="S254" s="8"/>
      <c r="T254" s="8"/>
      <c r="U254" s="8"/>
      <c r="V254" s="8"/>
      <c r="W254" s="8"/>
      <c r="X254" s="8"/>
      <c r="Y254" s="8"/>
      <c r="Z254" s="8"/>
      <c r="AA254" s="8"/>
      <c r="AB254" s="8"/>
      <c r="AC254" s="8"/>
      <c r="AD254" s="8"/>
      <c r="AF254" s="8"/>
      <c r="AG254" s="8"/>
      <c r="AH254" s="8"/>
      <c r="AI254" s="8"/>
      <c r="AJ254" s="8"/>
      <c r="AK254" s="8"/>
      <c r="AL254" s="8"/>
      <c r="AM254" s="8"/>
      <c r="AN254" s="8"/>
      <c r="AO254" s="8"/>
      <c r="AP254" s="8"/>
      <c r="AQ254" s="8"/>
      <c r="AR254" s="8"/>
      <c r="AS254" s="8"/>
      <c r="AU254" s="8"/>
      <c r="AV254" s="8"/>
      <c r="AW254" s="8"/>
      <c r="AX254" s="8"/>
      <c r="AY254" s="8"/>
      <c r="AZ254" s="8"/>
      <c r="BA254" s="8"/>
      <c r="BB254" s="8"/>
      <c r="BC254" s="8"/>
      <c r="BD254" s="8"/>
      <c r="BE254" s="8"/>
      <c r="BF254" s="8"/>
      <c r="BG254" s="8"/>
      <c r="BH254" s="8"/>
    </row>
    <row r="255" spans="1:60" ht="18" x14ac:dyDescent="0.3">
      <c r="A255" s="40" t="s">
        <v>186</v>
      </c>
      <c r="B255" s="8"/>
      <c r="C255" s="8"/>
      <c r="D255" s="8"/>
      <c r="E255" s="8"/>
      <c r="F255" s="8"/>
      <c r="G255" s="8"/>
      <c r="H255" s="8"/>
      <c r="I255" s="8"/>
      <c r="J255" s="8"/>
      <c r="K255" s="8"/>
      <c r="L255" s="8"/>
      <c r="M255" s="8"/>
      <c r="N255" s="8"/>
      <c r="O255" s="8"/>
      <c r="Q255" s="8"/>
      <c r="R255" s="8"/>
      <c r="S255" s="8"/>
      <c r="T255" s="8"/>
      <c r="U255" s="8"/>
      <c r="V255" s="8"/>
      <c r="W255" s="8"/>
      <c r="X255" s="8"/>
      <c r="Y255" s="8"/>
      <c r="Z255" s="8"/>
      <c r="AA255" s="8"/>
      <c r="AB255" s="8"/>
      <c r="AC255" s="8"/>
      <c r="AD255" s="8"/>
      <c r="AF255" s="8"/>
      <c r="AG255" s="8"/>
      <c r="AH255" s="8"/>
      <c r="AI255" s="8"/>
      <c r="AJ255" s="8"/>
      <c r="AK255" s="8"/>
      <c r="AL255" s="8"/>
      <c r="AM255" s="8"/>
      <c r="AN255" s="8"/>
      <c r="AO255" s="8"/>
      <c r="AP255" s="8"/>
      <c r="AQ255" s="8"/>
      <c r="AR255" s="8"/>
      <c r="AS255" s="8"/>
      <c r="AU255" s="8"/>
      <c r="AV255" s="8"/>
      <c r="AW255" s="8"/>
      <c r="AX255" s="8"/>
      <c r="AY255" s="8"/>
      <c r="AZ255" s="8"/>
      <c r="BA255" s="8"/>
      <c r="BB255" s="8"/>
      <c r="BC255" s="8"/>
      <c r="BD255" s="8"/>
      <c r="BE255" s="8"/>
      <c r="BF255" s="8"/>
      <c r="BG255" s="8"/>
      <c r="BH255" s="8"/>
    </row>
    <row r="256" spans="1:60" x14ac:dyDescent="0.3">
      <c r="A256" s="4" t="s">
        <v>177</v>
      </c>
      <c r="B256" s="9">
        <f>B240</f>
        <v>45748</v>
      </c>
      <c r="C256" s="9">
        <f t="shared" ref="C256:M256" si="8">C240</f>
        <v>45778</v>
      </c>
      <c r="D256" s="9">
        <f t="shared" si="8"/>
        <v>45809</v>
      </c>
      <c r="E256" s="9">
        <f t="shared" si="8"/>
        <v>45839</v>
      </c>
      <c r="F256" s="9">
        <f t="shared" si="8"/>
        <v>45870</v>
      </c>
      <c r="G256" s="9">
        <f t="shared" si="8"/>
        <v>45901</v>
      </c>
      <c r="H256" s="9">
        <f t="shared" si="8"/>
        <v>45931</v>
      </c>
      <c r="I256" s="9">
        <f t="shared" si="8"/>
        <v>45962</v>
      </c>
      <c r="J256" s="9">
        <f t="shared" si="8"/>
        <v>45992</v>
      </c>
      <c r="K256" s="9">
        <f t="shared" si="8"/>
        <v>46023</v>
      </c>
      <c r="L256" s="9">
        <f t="shared" si="8"/>
        <v>46054</v>
      </c>
      <c r="M256" s="9">
        <f t="shared" si="8"/>
        <v>46082</v>
      </c>
      <c r="N256" s="9">
        <f t="shared" ref="N256:O256" si="9">N240</f>
        <v>46113</v>
      </c>
      <c r="O256" s="9">
        <f t="shared" si="9"/>
        <v>46143</v>
      </c>
      <c r="Q256" s="8"/>
      <c r="R256" s="8"/>
      <c r="S256" s="8"/>
      <c r="T256" s="8"/>
      <c r="U256" s="8"/>
      <c r="V256" s="8"/>
      <c r="W256" s="8"/>
      <c r="X256" s="8"/>
      <c r="Y256" s="8"/>
      <c r="Z256" s="8"/>
      <c r="AA256" s="8"/>
      <c r="AB256" s="8"/>
      <c r="AC256" s="8"/>
      <c r="AD256" s="8"/>
      <c r="AF256" s="8"/>
      <c r="AG256" s="8"/>
      <c r="AH256" s="8"/>
      <c r="AI256" s="8"/>
      <c r="AJ256" s="8"/>
      <c r="AK256" s="8"/>
      <c r="AL256" s="8"/>
      <c r="AM256" s="8"/>
      <c r="AN256" s="8"/>
      <c r="AO256" s="8"/>
      <c r="AP256" s="8"/>
      <c r="AQ256" s="8"/>
      <c r="AR256" s="8"/>
      <c r="AS256" s="8"/>
      <c r="AU256" s="8"/>
      <c r="AV256" s="8"/>
      <c r="AW256" s="8"/>
      <c r="AX256" s="8"/>
      <c r="AY256" s="8"/>
      <c r="AZ256" s="8"/>
      <c r="BA256" s="8"/>
      <c r="BB256" s="8"/>
      <c r="BC256" s="8"/>
      <c r="BD256" s="8"/>
      <c r="BE256" s="8"/>
      <c r="BF256" s="8"/>
      <c r="BG256" s="8"/>
      <c r="BH256" s="8"/>
    </row>
    <row r="257" spans="1:60" x14ac:dyDescent="0.3">
      <c r="A257" s="11" t="s">
        <v>112</v>
      </c>
      <c r="B257" s="12">
        <f>COUNTIFS('Data-SO'!AI:AI,B$248, 'Data-SO'!H:H, "OPT")</f>
        <v>1</v>
      </c>
      <c r="C257" s="12">
        <f>COUNTIFS('Data-SO'!AI:AI,C$248, 'Data-SO'!H:H, "OPT")</f>
        <v>0</v>
      </c>
      <c r="D257" s="12">
        <f>COUNTIFS('Data-SO'!AI:AI,D$248, 'Data-SO'!H:H, "OPT")</f>
        <v>0</v>
      </c>
      <c r="E257" s="12">
        <f>COUNTIFS('Data-SO'!AI:AI,E$248, 'Data-SO'!H:H, "OPT")</f>
        <v>0</v>
      </c>
      <c r="F257" s="12">
        <f>COUNTIFS('Data-SO'!AI:AI,F$248, 'Data-SO'!H:H, "OPT")</f>
        <v>0</v>
      </c>
      <c r="G257" s="12">
        <f>COUNTIFS('Data-SO'!AI:AI,G$248, 'Data-SO'!H:H, "OPT")</f>
        <v>0</v>
      </c>
      <c r="H257" s="12">
        <f>COUNTIFS('Data-SO'!AI:AI,H$248, 'Data-SO'!H:H, "OPT")</f>
        <v>0</v>
      </c>
      <c r="I257" s="12">
        <f>COUNTIFS('Data-SO'!AI:AI,I$248, 'Data-SO'!H:H, "OPT")</f>
        <v>0</v>
      </c>
      <c r="J257" s="12">
        <f>COUNTIFS('Data-SO'!AI:AI,J$248, 'Data-SO'!H:H, "OPT")</f>
        <v>0</v>
      </c>
      <c r="K257" s="12">
        <f>COUNTIFS('Data-SO'!AI:AI,K$248, 'Data-SO'!H:H, "OPT")</f>
        <v>0</v>
      </c>
      <c r="L257" s="12">
        <f>COUNTIFS('Data-SO'!AI:AI,L$248, 'Data-SO'!H:H, "OPT")</f>
        <v>0</v>
      </c>
      <c r="M257" s="12">
        <f>COUNTIFS('Data-SO'!AI:AI,M$248, 'Data-SO'!H:H, "OPT")</f>
        <v>0</v>
      </c>
      <c r="N257" s="12">
        <f>COUNTIFS('Data-SO'!AI:AI,N$248, 'Data-SO'!H:H, "OPT")</f>
        <v>0</v>
      </c>
      <c r="O257" s="12">
        <f>COUNTIFS('Data-SO'!AI:AI,O$248, 'Data-SO'!H:H, "OPT")</f>
        <v>0</v>
      </c>
      <c r="Q257" s="8"/>
      <c r="R257" s="8"/>
      <c r="S257" s="8"/>
      <c r="T257" s="8"/>
      <c r="U257" s="8"/>
      <c r="V257" s="8"/>
      <c r="W257" s="8"/>
      <c r="X257" s="8"/>
      <c r="Y257" s="8"/>
      <c r="Z257" s="8"/>
      <c r="AA257" s="8"/>
      <c r="AB257" s="8"/>
      <c r="AC257" s="8"/>
      <c r="AD257" s="8"/>
      <c r="AF257" s="8"/>
      <c r="AG257" s="8"/>
      <c r="AH257" s="8"/>
      <c r="AI257" s="8"/>
      <c r="AJ257" s="8"/>
      <c r="AK257" s="8"/>
      <c r="AL257" s="8"/>
      <c r="AM257" s="8"/>
      <c r="AN257" s="8"/>
      <c r="AO257" s="8"/>
      <c r="AP257" s="8"/>
      <c r="AQ257" s="8"/>
      <c r="AR257" s="8"/>
      <c r="AS257" s="8"/>
      <c r="AU257" s="8"/>
      <c r="AV257" s="8"/>
      <c r="AW257" s="8"/>
      <c r="AX257" s="8"/>
      <c r="AY257" s="8"/>
      <c r="AZ257" s="8"/>
      <c r="BA257" s="8"/>
      <c r="BB257" s="8"/>
      <c r="BC257" s="8"/>
      <c r="BD257" s="8"/>
      <c r="BE257" s="8"/>
      <c r="BF257" s="8"/>
      <c r="BG257" s="8"/>
      <c r="BH257" s="8"/>
    </row>
    <row r="258" spans="1:60" x14ac:dyDescent="0.3">
      <c r="A258" s="11" t="s">
        <v>113</v>
      </c>
      <c r="B258" s="12">
        <f>COUNTIFS('Data-SO'!AJ:AJ,B$248, 'Data-SO'!H:H, "OPT")</f>
        <v>1</v>
      </c>
      <c r="C258" s="12">
        <f>COUNTIFS('Data-SO'!AJ:AJ,C$248, 'Data-SO'!H:H, "OPT")</f>
        <v>0</v>
      </c>
      <c r="D258" s="12">
        <f>COUNTIFS('Data-SO'!AJ:AJ,D$248, 'Data-SO'!H:H, "OPT")</f>
        <v>0</v>
      </c>
      <c r="E258" s="12">
        <f>COUNTIFS('Data-SO'!AJ:AJ,E$248, 'Data-SO'!H:H, "OPT")</f>
        <v>0</v>
      </c>
      <c r="F258" s="12">
        <f>COUNTIFS('Data-SO'!AJ:AJ,F$248, 'Data-SO'!H:H, "OPT")</f>
        <v>0</v>
      </c>
      <c r="G258" s="12">
        <f>COUNTIFS('Data-SO'!AJ:AJ,G$248, 'Data-SO'!H:H, "OPT")</f>
        <v>0</v>
      </c>
      <c r="H258" s="12">
        <f>COUNTIFS('Data-SO'!AJ:AJ,H$248, 'Data-SO'!H:H, "OPT")</f>
        <v>0</v>
      </c>
      <c r="I258" s="12">
        <f>COUNTIFS('Data-SO'!AJ:AJ,I$248, 'Data-SO'!H:H, "OPT")</f>
        <v>0</v>
      </c>
      <c r="J258" s="12">
        <f>COUNTIFS('Data-SO'!AJ:AJ,J$248, 'Data-SO'!H:H, "OPT")</f>
        <v>0</v>
      </c>
      <c r="K258" s="12">
        <f>COUNTIFS('Data-SO'!AJ:AJ,K$248, 'Data-SO'!H:H, "OPT")</f>
        <v>0</v>
      </c>
      <c r="L258" s="12">
        <f>COUNTIFS('Data-SO'!AJ:AJ,L$248, 'Data-SO'!H:H, "OPT")</f>
        <v>0</v>
      </c>
      <c r="M258" s="12">
        <f>COUNTIFS('Data-SO'!AJ:AJ,M$248, 'Data-SO'!H:H, "OPT")</f>
        <v>0</v>
      </c>
      <c r="N258" s="12">
        <f>COUNTIFS('Data-SO'!AJ:AJ,N$248, 'Data-SO'!H:H, "OPT")</f>
        <v>0</v>
      </c>
      <c r="O258" s="12">
        <f>COUNTIFS('Data-SO'!AJ:AJ,O$248, 'Data-SO'!H:H, "OPT")</f>
        <v>0</v>
      </c>
      <c r="Q258" s="8"/>
      <c r="R258" s="8"/>
      <c r="S258" s="8"/>
      <c r="T258" s="8"/>
      <c r="U258" s="8"/>
      <c r="V258" s="8"/>
      <c r="W258" s="8"/>
      <c r="X258" s="8"/>
      <c r="Y258" s="8"/>
      <c r="Z258" s="8"/>
      <c r="AA258" s="8"/>
      <c r="AB258" s="8"/>
      <c r="AC258" s="8"/>
      <c r="AD258" s="8"/>
      <c r="AF258" s="8"/>
      <c r="AG258" s="8"/>
      <c r="AH258" s="8"/>
      <c r="AI258" s="8"/>
      <c r="AJ258" s="8"/>
      <c r="AK258" s="8"/>
      <c r="AL258" s="8"/>
      <c r="AM258" s="8"/>
      <c r="AN258" s="8"/>
      <c r="AO258" s="8"/>
      <c r="AP258" s="8"/>
      <c r="AQ258" s="8"/>
      <c r="AR258" s="8"/>
      <c r="AS258" s="8"/>
      <c r="AU258" s="8"/>
      <c r="AV258" s="8"/>
      <c r="AW258" s="8"/>
      <c r="AX258" s="8"/>
      <c r="AY258" s="8"/>
      <c r="AZ258" s="8"/>
      <c r="BA258" s="8"/>
      <c r="BB258" s="8"/>
      <c r="BC258" s="8"/>
      <c r="BD258" s="8"/>
      <c r="BE258" s="8"/>
      <c r="BF258" s="8"/>
      <c r="BG258" s="8"/>
      <c r="BH258" s="8"/>
    </row>
    <row r="259" spans="1:60" x14ac:dyDescent="0.3">
      <c r="A259" s="11" t="s">
        <v>110</v>
      </c>
      <c r="B259" s="4">
        <f>COUNTIFS('Data-TSD+1'!AC:AC, B256, 'Data-TSD+1'!AB:AB, "OPT")</f>
        <v>0</v>
      </c>
      <c r="C259" s="4">
        <f>COUNTIFS('Data-TSD+1'!AC:AC, C256, 'Data-TSD+1'!AB:AB, "OPT")</f>
        <v>0</v>
      </c>
      <c r="D259" s="46">
        <f>COUNTIFS('Data-TSD+1'!AC:AC, D256, 'Data-TSD+1'!AB:AB, "OPT")</f>
        <v>0</v>
      </c>
      <c r="E259" s="46">
        <f>COUNTIFS('Data-TSD+1'!AC:AC, E256, 'Data-TSD+1'!AB:AB, "OPT")</f>
        <v>0</v>
      </c>
      <c r="F259" s="46">
        <f>COUNTIFS('Data-TSD+1'!AC:AC, F256, 'Data-TSD+1'!AB:AB, "OPT")</f>
        <v>0</v>
      </c>
      <c r="G259" s="46">
        <f>COUNTIFS('Data-TSD+1'!AC:AC, G256, 'Data-TSD+1'!AB:AB, "OPT")</f>
        <v>0</v>
      </c>
      <c r="H259" s="46">
        <f>COUNTIFS('Data-TSD+1'!AC:AC, H256, 'Data-TSD+1'!AB:AB, "OPT")</f>
        <v>0</v>
      </c>
      <c r="I259" s="46">
        <f>COUNTIFS('Data-TSD+1'!AC:AC, I256, 'Data-TSD+1'!AB:AB, "OPT")</f>
        <v>0</v>
      </c>
      <c r="J259" s="46">
        <f>COUNTIFS('Data-TSD+1'!AC:AC, J256, 'Data-TSD+1'!AB:AB, "OPT")</f>
        <v>0</v>
      </c>
      <c r="K259" s="46">
        <f>COUNTIFS('Data-TSD+1'!AC:AC, K256, 'Data-TSD+1'!AB:AB, "OPT")</f>
        <v>0</v>
      </c>
      <c r="L259" s="46">
        <f>COUNTIFS('Data-TSD+1'!AC:AC, L256, 'Data-TSD+1'!AB:AB, "OPT")</f>
        <v>0</v>
      </c>
      <c r="M259" s="46">
        <f>COUNTIFS('Data-TSD+1'!AC:AC, M256, 'Data-TSD+1'!AB:AB, "OPT")</f>
        <v>0</v>
      </c>
      <c r="N259" s="46">
        <f>COUNTIFS('Data-TSD+1'!AC:AC, N256, 'Data-TSD+1'!AB:AB, "OPT")</f>
        <v>0</v>
      </c>
      <c r="O259" s="46">
        <f>COUNTIFS('Data-TSD+1'!AC:AC, O256, 'Data-TSD+1'!AB:AB, "OPT")</f>
        <v>0</v>
      </c>
      <c r="P259" s="8"/>
      <c r="R259" s="8"/>
      <c r="S259" s="8"/>
      <c r="T259" s="8"/>
      <c r="U259" s="8"/>
      <c r="V259" s="8"/>
      <c r="W259" s="8"/>
      <c r="X259" s="8"/>
      <c r="Y259" s="8"/>
      <c r="Z259" s="8"/>
      <c r="AA259" s="8"/>
      <c r="AB259" s="8"/>
      <c r="AC259" s="8"/>
      <c r="AD259" s="8"/>
      <c r="AE259" s="8"/>
      <c r="AG259" s="8"/>
      <c r="AH259" s="8"/>
      <c r="AI259" s="8"/>
      <c r="AJ259" s="8"/>
      <c r="AK259" s="8"/>
      <c r="AL259" s="8"/>
      <c r="AM259" s="8"/>
      <c r="AN259" s="8"/>
      <c r="AO259" s="8"/>
      <c r="AP259" s="8"/>
      <c r="AQ259" s="8"/>
      <c r="AR259" s="8"/>
      <c r="AS259" s="8"/>
      <c r="AT259" s="8"/>
    </row>
    <row r="260" spans="1:60" x14ac:dyDescent="0.3">
      <c r="A260" s="11" t="s">
        <v>111</v>
      </c>
      <c r="B260" s="4">
        <f>COUNTIFS('Data-TED-1'!AH:AH, B256, 'Data-TED-1'!AG:AG, "IPT")</f>
        <v>0</v>
      </c>
      <c r="C260" s="4">
        <f>COUNTIFS('Data-TED-1'!AH:AH, C256, 'Data-TED-1'!AG:AG, "OPT")</f>
        <v>0</v>
      </c>
      <c r="D260" s="46">
        <f>COUNTIFS('Data-TED-1'!AH:AH, D256, 'Data-TED-1'!AG:AG, "OPT")</f>
        <v>0</v>
      </c>
      <c r="E260" s="46">
        <f>COUNTIFS('Data-TED-1'!AH:AH, E256, 'Data-TED-1'!AG:AG, "OPT")</f>
        <v>0</v>
      </c>
      <c r="F260" s="46">
        <f>COUNTIFS('Data-TED-1'!AH:AH, F256, 'Data-TED-1'!AG:AG, "OPT")</f>
        <v>0</v>
      </c>
      <c r="G260" s="46">
        <f>COUNTIFS('Data-TED-1'!AH:AH, G256, 'Data-TED-1'!AG:AG, "OPT")</f>
        <v>0</v>
      </c>
      <c r="H260" s="46">
        <f>COUNTIFS('Data-TED-1'!AH:AH, H256, 'Data-TED-1'!AG:AG, "OPT")</f>
        <v>0</v>
      </c>
      <c r="I260" s="46">
        <f>COUNTIFS('Data-TED-1'!AH:AH, I256, 'Data-TED-1'!AG:AG, "OPT")</f>
        <v>0</v>
      </c>
      <c r="J260" s="46">
        <f>COUNTIFS('Data-TED-1'!AH:AH, J256, 'Data-TED-1'!AG:AG, "OPT")</f>
        <v>0</v>
      </c>
      <c r="K260" s="46">
        <f>COUNTIFS('Data-TED-1'!AH:AH, K256, 'Data-TED-1'!AG:AG, "OPT")</f>
        <v>0</v>
      </c>
      <c r="L260" s="46">
        <f>COUNTIFS('Data-TED-1'!AH:AH, L256, 'Data-TED-1'!AG:AG, "OPT")</f>
        <v>0</v>
      </c>
      <c r="M260" s="46">
        <f>COUNTIFS('Data-TED-1'!AH:AH, M256, 'Data-TED-1'!AG:AG, "OPT")</f>
        <v>0</v>
      </c>
      <c r="N260" s="46">
        <f>COUNTIFS('Data-TED-1'!AH:AH, N256, 'Data-TED-1'!AG:AG, "OPT")</f>
        <v>0</v>
      </c>
      <c r="O260" s="46">
        <f>COUNTIFS('Data-TED-1'!AH:AH, O256, 'Data-TED-1'!AG:AG, "OPT")</f>
        <v>0</v>
      </c>
      <c r="P260" s="8"/>
      <c r="R260" s="8"/>
      <c r="S260" s="8"/>
      <c r="T260" s="8"/>
      <c r="U260" s="8"/>
      <c r="V260" s="8"/>
      <c r="W260" s="8"/>
      <c r="X260" s="8"/>
      <c r="Y260" s="8"/>
      <c r="Z260" s="8"/>
      <c r="AA260" s="8"/>
      <c r="AB260" s="8"/>
      <c r="AC260" s="8"/>
      <c r="AD260" s="8"/>
      <c r="AE260" s="8"/>
      <c r="AG260" s="8"/>
      <c r="AH260" s="8"/>
      <c r="AI260" s="8"/>
      <c r="AJ260" s="8"/>
      <c r="AK260" s="8"/>
      <c r="AL260" s="8"/>
      <c r="AM260" s="8"/>
      <c r="AN260" s="8"/>
      <c r="AO260" s="8"/>
      <c r="AP260" s="8"/>
      <c r="AQ260" s="8"/>
      <c r="AR260" s="8"/>
      <c r="AS260" s="8"/>
      <c r="AT260" s="8"/>
    </row>
    <row r="261" spans="1:60" x14ac:dyDescent="0.3">
      <c r="A261" s="4" t="s">
        <v>179</v>
      </c>
      <c r="B261" s="10">
        <f>IFERROR(B259/B257,0)</f>
        <v>0</v>
      </c>
      <c r="C261" s="10">
        <f t="shared" ref="C261:M261" si="10">IFERROR(C259/C257,0)</f>
        <v>0</v>
      </c>
      <c r="D261" s="10">
        <f t="shared" si="10"/>
        <v>0</v>
      </c>
      <c r="E261" s="10">
        <f t="shared" si="10"/>
        <v>0</v>
      </c>
      <c r="F261" s="10">
        <f t="shared" si="10"/>
        <v>0</v>
      </c>
      <c r="G261" s="10">
        <f t="shared" si="10"/>
        <v>0</v>
      </c>
      <c r="H261" s="10">
        <f t="shared" si="10"/>
        <v>0</v>
      </c>
      <c r="I261" s="10">
        <f t="shared" si="10"/>
        <v>0</v>
      </c>
      <c r="J261" s="10">
        <f t="shared" si="10"/>
        <v>0</v>
      </c>
      <c r="K261" s="10">
        <f t="shared" si="10"/>
        <v>0</v>
      </c>
      <c r="L261" s="10">
        <f t="shared" si="10"/>
        <v>0</v>
      </c>
      <c r="M261" s="10">
        <f t="shared" si="10"/>
        <v>0</v>
      </c>
      <c r="N261" s="10" t="e">
        <f t="shared" ref="N261:O261" si="11">N259/N257</f>
        <v>#DIV/0!</v>
      </c>
      <c r="O261" s="10" t="e">
        <f t="shared" si="11"/>
        <v>#DIV/0!</v>
      </c>
      <c r="Q261" s="8"/>
      <c r="R261" s="8"/>
      <c r="S261" s="8"/>
      <c r="T261" s="8"/>
      <c r="U261" s="8"/>
      <c r="V261" s="8"/>
      <c r="W261" s="8"/>
      <c r="X261" s="8"/>
      <c r="Y261" s="8"/>
      <c r="Z261" s="8"/>
      <c r="AA261" s="8"/>
      <c r="AB261" s="8"/>
      <c r="AC261" s="8"/>
      <c r="AD261" s="8"/>
      <c r="AF261" s="8"/>
      <c r="AG261" s="8"/>
      <c r="AH261" s="8"/>
      <c r="AI261" s="8"/>
      <c r="AJ261" s="8"/>
      <c r="AK261" s="8"/>
      <c r="AL261" s="8"/>
      <c r="AM261" s="8"/>
      <c r="AN261" s="8"/>
      <c r="AO261" s="8"/>
      <c r="AP261" s="8"/>
      <c r="AQ261" s="8"/>
      <c r="AR261" s="8"/>
      <c r="AS261" s="8"/>
      <c r="AU261" s="8"/>
      <c r="AV261" s="8"/>
      <c r="AW261" s="8"/>
      <c r="AX261" s="8"/>
      <c r="AY261" s="8"/>
      <c r="AZ261" s="8"/>
      <c r="BA261" s="8"/>
      <c r="BB261" s="8"/>
      <c r="BC261" s="8"/>
      <c r="BD261" s="8"/>
      <c r="BE261" s="8"/>
      <c r="BF261" s="8"/>
      <c r="BG261" s="8"/>
      <c r="BH261" s="8"/>
    </row>
    <row r="262" spans="1:60" x14ac:dyDescent="0.3">
      <c r="A262" s="4" t="s">
        <v>180</v>
      </c>
      <c r="B262" s="10">
        <f>IFERROR(B260/B258,0)</f>
        <v>0</v>
      </c>
      <c r="C262" s="10">
        <f t="shared" ref="C262:O262" si="12">IFERROR(C260/C258,0)</f>
        <v>0</v>
      </c>
      <c r="D262" s="10">
        <f t="shared" si="12"/>
        <v>0</v>
      </c>
      <c r="E262" s="10">
        <f t="shared" si="12"/>
        <v>0</v>
      </c>
      <c r="F262" s="10">
        <f t="shared" si="12"/>
        <v>0</v>
      </c>
      <c r="G262" s="10">
        <f t="shared" si="12"/>
        <v>0</v>
      </c>
      <c r="H262" s="10">
        <f t="shared" si="12"/>
        <v>0</v>
      </c>
      <c r="I262" s="10">
        <f t="shared" si="12"/>
        <v>0</v>
      </c>
      <c r="J262" s="10">
        <f t="shared" si="12"/>
        <v>0</v>
      </c>
      <c r="K262" s="10">
        <f t="shared" si="12"/>
        <v>0</v>
      </c>
      <c r="L262" s="10">
        <f t="shared" si="12"/>
        <v>0</v>
      </c>
      <c r="M262" s="10">
        <f t="shared" si="12"/>
        <v>0</v>
      </c>
      <c r="N262" s="10">
        <f t="shared" si="12"/>
        <v>0</v>
      </c>
      <c r="O262" s="10">
        <f t="shared" si="12"/>
        <v>0</v>
      </c>
      <c r="Q262" s="8"/>
      <c r="R262" s="8"/>
      <c r="S262" s="8"/>
      <c r="T262" s="8"/>
      <c r="U262" s="8"/>
      <c r="V262" s="8"/>
      <c r="W262" s="8"/>
      <c r="X262" s="8"/>
      <c r="Y262" s="8"/>
      <c r="Z262" s="8"/>
      <c r="AA262" s="8"/>
      <c r="AB262" s="8"/>
      <c r="AC262" s="8"/>
      <c r="AD262" s="8"/>
      <c r="AF262" s="8"/>
      <c r="AG262" s="8"/>
      <c r="AH262" s="8"/>
      <c r="AI262" s="8"/>
      <c r="AJ262" s="8"/>
      <c r="AK262" s="8"/>
      <c r="AL262" s="8"/>
      <c r="AM262" s="8"/>
      <c r="AN262" s="8"/>
      <c r="AO262" s="8"/>
      <c r="AP262" s="8"/>
      <c r="AQ262" s="8"/>
      <c r="AR262" s="8"/>
      <c r="AS262" s="8"/>
      <c r="AU262" s="8"/>
      <c r="AV262" s="8"/>
      <c r="AW262" s="8"/>
      <c r="AX262" s="8"/>
      <c r="AY262" s="8"/>
      <c r="AZ262" s="8"/>
      <c r="BA262" s="8"/>
      <c r="BB262" s="8"/>
      <c r="BC262" s="8"/>
      <c r="BD262" s="8"/>
      <c r="BE262" s="8"/>
      <c r="BF262" s="8"/>
      <c r="BG262" s="8"/>
      <c r="BH262" s="8"/>
    </row>
    <row r="263" spans="1:60" ht="18" x14ac:dyDescent="0.3">
      <c r="A263" s="40" t="s">
        <v>187</v>
      </c>
      <c r="B263" s="8"/>
      <c r="C263" s="8"/>
      <c r="D263" s="8"/>
      <c r="E263" s="8"/>
      <c r="F263" s="8"/>
      <c r="G263" s="8"/>
      <c r="H263" s="8"/>
      <c r="I263" s="8"/>
      <c r="J263" s="8"/>
      <c r="K263" s="8"/>
      <c r="L263" s="8"/>
      <c r="M263" s="8"/>
      <c r="N263" s="8"/>
      <c r="O263" s="8"/>
      <c r="Q263" s="8"/>
      <c r="R263" s="8"/>
      <c r="S263" s="8"/>
      <c r="T263" s="8"/>
      <c r="U263" s="8"/>
      <c r="V263" s="8"/>
      <c r="W263" s="8"/>
      <c r="X263" s="8"/>
      <c r="Y263" s="8"/>
      <c r="Z263" s="8"/>
      <c r="AA263" s="8"/>
      <c r="AB263" s="8"/>
      <c r="AC263" s="8"/>
      <c r="AD263" s="8"/>
      <c r="AF263" s="8"/>
      <c r="AG263" s="8"/>
      <c r="AH263" s="8"/>
      <c r="AI263" s="8"/>
      <c r="AJ263" s="8"/>
      <c r="AK263" s="8"/>
      <c r="AL263" s="8"/>
      <c r="AM263" s="8"/>
      <c r="AN263" s="8"/>
      <c r="AO263" s="8"/>
      <c r="AP263" s="8"/>
      <c r="AQ263" s="8"/>
      <c r="AR263" s="8"/>
      <c r="AS263" s="8"/>
      <c r="AU263" s="8"/>
      <c r="AV263" s="8"/>
      <c r="AW263" s="8"/>
      <c r="AX263" s="8"/>
      <c r="AY263" s="8"/>
      <c r="AZ263" s="8"/>
      <c r="BA263" s="8"/>
      <c r="BB263" s="8"/>
      <c r="BC263" s="8"/>
      <c r="BD263" s="8"/>
      <c r="BE263" s="8"/>
      <c r="BF263" s="8"/>
      <c r="BG263" s="8"/>
      <c r="BH263" s="8"/>
    </row>
    <row r="264" spans="1:60" x14ac:dyDescent="0.3">
      <c r="A264" s="44" t="s">
        <v>178</v>
      </c>
      <c r="B264" s="9">
        <f>B240</f>
        <v>45748</v>
      </c>
      <c r="C264" s="9">
        <f t="shared" ref="C264:M264" si="13">C240</f>
        <v>45778</v>
      </c>
      <c r="D264" s="9">
        <f t="shared" si="13"/>
        <v>45809</v>
      </c>
      <c r="E264" s="9">
        <f t="shared" si="13"/>
        <v>45839</v>
      </c>
      <c r="F264" s="9">
        <f t="shared" si="13"/>
        <v>45870</v>
      </c>
      <c r="G264" s="9">
        <f t="shared" si="13"/>
        <v>45901</v>
      </c>
      <c r="H264" s="9">
        <f t="shared" si="13"/>
        <v>45931</v>
      </c>
      <c r="I264" s="9">
        <f t="shared" si="13"/>
        <v>45962</v>
      </c>
      <c r="J264" s="9">
        <f t="shared" si="13"/>
        <v>45992</v>
      </c>
      <c r="K264" s="9">
        <f t="shared" si="13"/>
        <v>46023</v>
      </c>
      <c r="L264" s="9">
        <f t="shared" si="13"/>
        <v>46054</v>
      </c>
      <c r="M264" s="9">
        <f t="shared" si="13"/>
        <v>46082</v>
      </c>
      <c r="N264" s="9">
        <v>45870</v>
      </c>
      <c r="O264" s="9">
        <v>45901</v>
      </c>
      <c r="Q264" s="8"/>
      <c r="R264" s="8"/>
      <c r="S264" s="8"/>
      <c r="T264" s="8"/>
      <c r="U264" s="8"/>
      <c r="V264" s="8"/>
      <c r="W264" s="8"/>
      <c r="X264" s="8"/>
      <c r="Y264" s="8"/>
      <c r="Z264" s="8"/>
      <c r="AA264" s="8"/>
      <c r="AB264" s="8"/>
      <c r="AC264" s="8"/>
      <c r="AD264" s="8"/>
      <c r="AF264" s="8"/>
      <c r="AG264" s="8"/>
      <c r="AH264" s="8"/>
      <c r="AI264" s="8"/>
      <c r="AJ264" s="8"/>
      <c r="AK264" s="8"/>
      <c r="AL264" s="8"/>
      <c r="AM264" s="8"/>
      <c r="AN264" s="8"/>
      <c r="AO264" s="8"/>
      <c r="AP264" s="8"/>
      <c r="AQ264" s="8"/>
      <c r="AR264" s="8"/>
      <c r="AS264" s="8"/>
      <c r="AU264" s="8"/>
      <c r="AV264" s="8"/>
      <c r="AW264" s="8"/>
      <c r="AX264" s="8"/>
      <c r="AY264" s="8"/>
      <c r="AZ264" s="8"/>
      <c r="BA264" s="8"/>
      <c r="BB264" s="8"/>
      <c r="BC264" s="8"/>
      <c r="BD264" s="8"/>
      <c r="BE264" s="8"/>
      <c r="BF264" s="8"/>
      <c r="BG264" s="8"/>
      <c r="BH264" s="8"/>
    </row>
    <row r="265" spans="1:60" x14ac:dyDescent="0.3">
      <c r="A265" s="45" t="s">
        <v>112</v>
      </c>
      <c r="B265" s="12">
        <f>COUNTIFS('Data-SO'!AI:AI,B$248, 'Data-SO'!H:H, "LT")</f>
        <v>0</v>
      </c>
      <c r="C265" s="12">
        <f>COUNTIFS('Data-SO'!AI:AI,C$248, 'Data-SO'!H:H, "LT")</f>
        <v>0</v>
      </c>
      <c r="D265" s="12">
        <f>COUNTIFS('Data-SO'!AI:AI,D$248, 'Data-SO'!H:H, "LT")</f>
        <v>0</v>
      </c>
      <c r="E265" s="12">
        <f>COUNTIFS('Data-SO'!AI:AI,E$248, 'Data-SO'!H:H, "LT")</f>
        <v>0</v>
      </c>
      <c r="F265" s="12">
        <f>COUNTIFS('Data-SO'!AI:AI,F$248, 'Data-SO'!H:H, "LT")</f>
        <v>0</v>
      </c>
      <c r="G265" s="12">
        <f>COUNTIFS('Data-SO'!AI:AI,G$248, 'Data-SO'!H:H, "LT")</f>
        <v>0</v>
      </c>
      <c r="H265" s="12">
        <f>COUNTIFS('Data-SO'!AI:AI,H$248, 'Data-SO'!H:H, "LT")</f>
        <v>0</v>
      </c>
      <c r="I265" s="12">
        <f>COUNTIFS('Data-SO'!AI:AI,I$248, 'Data-SO'!H:H, "LT")</f>
        <v>0</v>
      </c>
      <c r="J265" s="12">
        <f>COUNTIFS('Data-SO'!AI:AI,J$248, 'Data-SO'!H:H, "LT")</f>
        <v>0</v>
      </c>
      <c r="K265" s="12">
        <f>COUNTIFS('Data-SO'!AI:AI,K$248, 'Data-SO'!H:H, "LT")</f>
        <v>0</v>
      </c>
      <c r="L265" s="12">
        <f>COUNTIFS('Data-SO'!AI:AI,L$248, 'Data-SO'!H:H, "LT")</f>
        <v>0</v>
      </c>
      <c r="M265" s="12">
        <f>COUNTIFS('Data-SO'!AI:AI,M$248, 'Data-SO'!H:H, "LT")</f>
        <v>0</v>
      </c>
      <c r="N265" s="12">
        <f>COUNTIFS('Data-SO'!AI:AI,N$248, 'Data-SO'!H:H, "LT")</f>
        <v>0</v>
      </c>
      <c r="O265" s="12">
        <f>COUNTIFS('Data-SO'!AI:AI,O$248, 'Data-SO'!H:H, "LT")</f>
        <v>0</v>
      </c>
      <c r="Q265" s="8"/>
      <c r="R265" s="8"/>
      <c r="S265" s="8"/>
      <c r="T265" s="8"/>
      <c r="U265" s="8"/>
      <c r="V265" s="8"/>
      <c r="W265" s="8"/>
      <c r="X265" s="8"/>
      <c r="Y265" s="8"/>
      <c r="Z265" s="8"/>
      <c r="AA265" s="8"/>
      <c r="AB265" s="8"/>
      <c r="AC265" s="8"/>
      <c r="AD265" s="8"/>
      <c r="AF265" s="8"/>
      <c r="AG265" s="8"/>
      <c r="AH265" s="8"/>
      <c r="AI265" s="8"/>
      <c r="AJ265" s="8"/>
      <c r="AK265" s="8"/>
      <c r="AL265" s="8"/>
      <c r="AM265" s="8"/>
      <c r="AN265" s="8"/>
      <c r="AO265" s="8"/>
      <c r="AP265" s="8"/>
      <c r="AQ265" s="8"/>
      <c r="AR265" s="8"/>
      <c r="AS265" s="8"/>
      <c r="AU265" s="8"/>
      <c r="AV265" s="8"/>
      <c r="AW265" s="8"/>
      <c r="AX265" s="8"/>
      <c r="AY265" s="8"/>
      <c r="AZ265" s="8"/>
      <c r="BA265" s="8"/>
      <c r="BB265" s="8"/>
      <c r="BC265" s="8"/>
      <c r="BD265" s="8"/>
      <c r="BE265" s="8"/>
      <c r="BF265" s="8"/>
      <c r="BG265" s="8"/>
      <c r="BH265" s="8"/>
    </row>
    <row r="266" spans="1:60" x14ac:dyDescent="0.3">
      <c r="A266" s="45" t="s">
        <v>113</v>
      </c>
      <c r="B266" s="12">
        <f>COUNTIFS('Data-SO'!AJ:AJ,B$248, 'Data-SO'!H:H, "LT")</f>
        <v>0</v>
      </c>
      <c r="C266" s="12">
        <f>COUNTIFS('Data-SO'!AJ:AJ,C$248, 'Data-SO'!H:H, "LT")</f>
        <v>0</v>
      </c>
      <c r="D266" s="12">
        <f>COUNTIFS('Data-SO'!AJ:AJ,D$248, 'Data-SO'!H:H, "LT")</f>
        <v>0</v>
      </c>
      <c r="E266" s="12">
        <f>COUNTIFS('Data-SO'!AJ:AJ,E$248, 'Data-SO'!H:H, "LT")</f>
        <v>0</v>
      </c>
      <c r="F266" s="12">
        <f>COUNTIFS('Data-SO'!AJ:AJ,F$248, 'Data-SO'!H:H, "LT")</f>
        <v>0</v>
      </c>
      <c r="G266" s="12">
        <f>COUNTIFS('Data-SO'!AJ:AJ,G$248, 'Data-SO'!H:H, "LT")</f>
        <v>0</v>
      </c>
      <c r="H266" s="12">
        <f>COUNTIFS('Data-SO'!AJ:AJ,H$248, 'Data-SO'!H:H, "LT")</f>
        <v>0</v>
      </c>
      <c r="I266" s="12">
        <f>COUNTIFS('Data-SO'!AJ:AJ,I$248, 'Data-SO'!H:H, "LT")</f>
        <v>0</v>
      </c>
      <c r="J266" s="12">
        <f>COUNTIFS('Data-SO'!AJ:AJ,J$248, 'Data-SO'!H:H, "LT")</f>
        <v>0</v>
      </c>
      <c r="K266" s="12">
        <f>COUNTIFS('Data-SO'!AJ:AJ,K$248, 'Data-SO'!H:H, "LT")</f>
        <v>0</v>
      </c>
      <c r="L266" s="12">
        <f>COUNTIFS('Data-SO'!AJ:AJ,L$248, 'Data-SO'!H:H, "LT")</f>
        <v>0</v>
      </c>
      <c r="M266" s="12">
        <f>COUNTIFS('Data-SO'!AJ:AJ,M$248, 'Data-SO'!H:H, "LT")</f>
        <v>0</v>
      </c>
      <c r="N266" s="12">
        <f>COUNTIFS('Data-SO'!AJ:AJ,N$248, 'Data-SO'!H:H, "LT")</f>
        <v>0</v>
      </c>
      <c r="O266" s="12">
        <f>COUNTIFS('Data-SO'!AJ:AJ,O$248, 'Data-SO'!H:H, "LT")</f>
        <v>0</v>
      </c>
      <c r="Q266" s="8"/>
      <c r="R266" s="8"/>
      <c r="S266" s="8"/>
      <c r="T266" s="8"/>
      <c r="U266" s="8"/>
      <c r="V266" s="8"/>
      <c r="W266" s="8"/>
      <c r="X266" s="8"/>
      <c r="Y266" s="8"/>
      <c r="Z266" s="8"/>
      <c r="AA266" s="8"/>
      <c r="AB266" s="8"/>
      <c r="AC266" s="8"/>
      <c r="AD266" s="8"/>
      <c r="AF266" s="8"/>
      <c r="AG266" s="8"/>
      <c r="AH266" s="8"/>
      <c r="AI266" s="8"/>
      <c r="AJ266" s="8"/>
      <c r="AK266" s="8"/>
      <c r="AL266" s="8"/>
      <c r="AM266" s="8"/>
      <c r="AN266" s="8"/>
      <c r="AO266" s="8"/>
      <c r="AP266" s="8"/>
      <c r="AQ266" s="8"/>
      <c r="AR266" s="8"/>
      <c r="AS266" s="8"/>
      <c r="AU266" s="8"/>
      <c r="AV266" s="8"/>
      <c r="AW266" s="8"/>
      <c r="AX266" s="8"/>
      <c r="AY266" s="8"/>
      <c r="AZ266" s="8"/>
      <c r="BA266" s="8"/>
      <c r="BB266" s="8"/>
      <c r="BC266" s="8"/>
      <c r="BD266" s="8"/>
      <c r="BE266" s="8"/>
      <c r="BF266" s="8"/>
      <c r="BG266" s="8"/>
      <c r="BH266" s="8"/>
    </row>
    <row r="267" spans="1:60" x14ac:dyDescent="0.3">
      <c r="A267" s="45" t="s">
        <v>110</v>
      </c>
      <c r="B267" s="4">
        <f>COUNTIFS('Data-TSD+1'!AC:AC, B264, 'Data-TSD+1'!AB:AB, "LT")</f>
        <v>0</v>
      </c>
      <c r="C267" s="4">
        <f>COUNTIFS('Data-TSD+1'!AC:AC, C264, 'Data-TSD+1'!AB:AB, "LT")</f>
        <v>0</v>
      </c>
      <c r="D267" s="46">
        <f>COUNTIFS('Data-TSD+1'!AC:AC, D264, 'Data-TSD+1'!AB:AB, "LT")</f>
        <v>0</v>
      </c>
      <c r="E267" s="46">
        <f>COUNTIFS('Data-TSD+1'!AC:AC, E264, 'Data-TSD+1'!AB:AB, "LT")</f>
        <v>0</v>
      </c>
      <c r="F267" s="46">
        <f>COUNTIFS('Data-TSD+1'!AC:AC, F264, 'Data-TSD+1'!AB:AB, "LT")</f>
        <v>0</v>
      </c>
      <c r="G267" s="46">
        <f>COUNTIFS('Data-TSD+1'!AC:AC, G264, 'Data-TSD+1'!AB:AB, "LT")</f>
        <v>0</v>
      </c>
      <c r="H267" s="46">
        <f>COUNTIFS('Data-TSD+1'!AC:AC, H264, 'Data-TSD+1'!AB:AB, "LT")</f>
        <v>0</v>
      </c>
      <c r="I267" s="46">
        <f>COUNTIFS('Data-TSD+1'!AC:AC, I264, 'Data-TSD+1'!AB:AB, "LT")</f>
        <v>0</v>
      </c>
      <c r="J267" s="46">
        <f>COUNTIFS('Data-TSD+1'!AC:AC, J264, 'Data-TSD+1'!AB:AB, "LT")</f>
        <v>0</v>
      </c>
      <c r="K267" s="46">
        <f>COUNTIFS('Data-TSD+1'!AC:AC, K264, 'Data-TSD+1'!AB:AB, "LT")</f>
        <v>0</v>
      </c>
      <c r="L267" s="46">
        <f>COUNTIFS('Data-TSD+1'!AC:AC, L264, 'Data-TSD+1'!AB:AB, "LT")</f>
        <v>0</v>
      </c>
      <c r="M267" s="46">
        <f>COUNTIFS('Data-TSD+1'!AC:AC, M264, 'Data-TSD+1'!AB:AB, "LT")</f>
        <v>0</v>
      </c>
      <c r="N267" s="46">
        <f>COUNTIFS('Data-TSD+1'!AC:AC, N264, 'Data-TSD+1'!AB:AB, "LT")</f>
        <v>0</v>
      </c>
      <c r="O267" s="46">
        <f>COUNTIFS('Data-TSD+1'!AC:AC, O264, 'Data-TSD+1'!AB:AB, "LT")</f>
        <v>0</v>
      </c>
      <c r="P267" s="8"/>
      <c r="R267" s="8"/>
      <c r="S267" s="8"/>
      <c r="T267" s="8"/>
      <c r="U267" s="8"/>
      <c r="V267" s="8"/>
      <c r="W267" s="8"/>
      <c r="X267" s="8"/>
      <c r="Y267" s="8"/>
      <c r="Z267" s="8"/>
      <c r="AA267" s="8"/>
      <c r="AB267" s="8"/>
      <c r="AC267" s="8"/>
      <c r="AD267" s="8"/>
      <c r="AE267" s="8"/>
      <c r="AG267" s="8"/>
      <c r="AH267" s="8"/>
      <c r="AI267" s="8"/>
      <c r="AJ267" s="8"/>
      <c r="AK267" s="8"/>
      <c r="AL267" s="8"/>
      <c r="AM267" s="8"/>
      <c r="AN267" s="8"/>
      <c r="AO267" s="8"/>
      <c r="AP267" s="8"/>
      <c r="AQ267" s="8"/>
      <c r="AR267" s="8"/>
      <c r="AS267" s="8"/>
      <c r="AT267" s="8"/>
    </row>
    <row r="268" spans="1:60" x14ac:dyDescent="0.3">
      <c r="A268" s="45" t="s">
        <v>111</v>
      </c>
      <c r="B268" s="4">
        <f>COUNTIFS('Data-TED-1'!AH:AH, B264, 'Data-TED-1'!AG:AG, "LT")</f>
        <v>0</v>
      </c>
      <c r="C268" s="4">
        <f>COUNTIFS('Data-TED-1'!AH:AH, C264, 'Data-TED-1'!AG:AG, "LT")</f>
        <v>0</v>
      </c>
      <c r="D268" s="46">
        <f>COUNTIFS('Data-TED-1'!AH:AH, D264, 'Data-TED-1'!AG:AG, "LT")</f>
        <v>0</v>
      </c>
      <c r="E268" s="46">
        <f>COUNTIFS('Data-TED-1'!AH:AH, E264, 'Data-TED-1'!AG:AG, "LT")</f>
        <v>0</v>
      </c>
      <c r="F268" s="46">
        <f>COUNTIFS('Data-TED-1'!AH:AH, F264, 'Data-TED-1'!AG:AG, "LT")</f>
        <v>0</v>
      </c>
      <c r="G268" s="46">
        <f>COUNTIFS('Data-TED-1'!AH:AH, G264, 'Data-TED-1'!AG:AG, "LT")</f>
        <v>0</v>
      </c>
      <c r="H268" s="46">
        <f>COUNTIFS('Data-TED-1'!AH:AH, H264, 'Data-TED-1'!AG:AG, "LT")</f>
        <v>0</v>
      </c>
      <c r="I268" s="46">
        <f>COUNTIFS('Data-TED-1'!AH:AH, I264, 'Data-TED-1'!AG:AG, "LT")</f>
        <v>0</v>
      </c>
      <c r="J268" s="46">
        <f>COUNTIFS('Data-TED-1'!AH:AH, J264, 'Data-TED-1'!AG:AG, "LT")</f>
        <v>0</v>
      </c>
      <c r="K268" s="46">
        <f>COUNTIFS('Data-TED-1'!AH:AH, K264, 'Data-TED-1'!AG:AG, "LT")</f>
        <v>0</v>
      </c>
      <c r="L268" s="46">
        <f>COUNTIFS('Data-TED-1'!AH:AH, L264, 'Data-TED-1'!AG:AG, "LT")</f>
        <v>0</v>
      </c>
      <c r="M268" s="46">
        <f>COUNTIFS('Data-TED-1'!AH:AH, M264, 'Data-TED-1'!AG:AG, "LT")</f>
        <v>0</v>
      </c>
      <c r="N268" s="46">
        <f>COUNTIFS('Data-TED-1'!AH:AH, N264, 'Data-TED-1'!AG:AG, "LT")</f>
        <v>0</v>
      </c>
      <c r="O268" s="46">
        <f>COUNTIFS('Data-TED-1'!AH:AH, O264, 'Data-TED-1'!AG:AG, "LT")</f>
        <v>0</v>
      </c>
      <c r="P268" s="8"/>
      <c r="R268" s="8"/>
      <c r="S268" s="8"/>
      <c r="T268" s="8"/>
      <c r="U268" s="8"/>
      <c r="V268" s="8"/>
      <c r="W268" s="8"/>
      <c r="X268" s="8"/>
      <c r="Y268" s="8"/>
      <c r="Z268" s="8"/>
      <c r="AA268" s="8"/>
      <c r="AB268" s="8"/>
      <c r="AC268" s="8"/>
      <c r="AD268" s="8"/>
      <c r="AE268" s="8"/>
      <c r="AG268" s="8"/>
      <c r="AH268" s="8"/>
      <c r="AI268" s="8"/>
      <c r="AJ268" s="8"/>
      <c r="AK268" s="8"/>
      <c r="AL268" s="8"/>
      <c r="AM268" s="8"/>
      <c r="AN268" s="8"/>
      <c r="AO268" s="8"/>
      <c r="AP268" s="8"/>
      <c r="AQ268" s="8"/>
      <c r="AR268" s="8"/>
      <c r="AS268" s="8"/>
      <c r="AT268" s="8"/>
    </row>
    <row r="269" spans="1:60" x14ac:dyDescent="0.3">
      <c r="A269" s="44" t="s">
        <v>179</v>
      </c>
      <c r="B269" s="10">
        <f>IFERROR(B267/B265,0)</f>
        <v>0</v>
      </c>
      <c r="C269" s="10">
        <f t="shared" ref="C269:O269" si="14">IFERROR(C267/C265,0)</f>
        <v>0</v>
      </c>
      <c r="D269" s="10">
        <f t="shared" si="14"/>
        <v>0</v>
      </c>
      <c r="E269" s="10">
        <f t="shared" si="14"/>
        <v>0</v>
      </c>
      <c r="F269" s="10">
        <f t="shared" si="14"/>
        <v>0</v>
      </c>
      <c r="G269" s="10">
        <f t="shared" si="14"/>
        <v>0</v>
      </c>
      <c r="H269" s="10">
        <f t="shared" si="14"/>
        <v>0</v>
      </c>
      <c r="I269" s="10">
        <f t="shared" si="14"/>
        <v>0</v>
      </c>
      <c r="J269" s="10">
        <f t="shared" si="14"/>
        <v>0</v>
      </c>
      <c r="K269" s="10">
        <f t="shared" si="14"/>
        <v>0</v>
      </c>
      <c r="L269" s="10">
        <f t="shared" si="14"/>
        <v>0</v>
      </c>
      <c r="M269" s="10">
        <f t="shared" si="14"/>
        <v>0</v>
      </c>
      <c r="N269" s="10">
        <f t="shared" si="14"/>
        <v>0</v>
      </c>
      <c r="O269" s="10">
        <f t="shared" si="14"/>
        <v>0</v>
      </c>
      <c r="Q269" s="8"/>
      <c r="R269" s="8"/>
      <c r="S269" s="8"/>
      <c r="T269" s="8"/>
      <c r="U269" s="8"/>
      <c r="V269" s="8"/>
      <c r="W269" s="8"/>
      <c r="X269" s="8"/>
      <c r="Y269" s="8"/>
      <c r="Z269" s="8"/>
      <c r="AA269" s="8"/>
      <c r="AB269" s="8"/>
      <c r="AC269" s="8"/>
      <c r="AD269" s="8"/>
      <c r="AF269" s="8"/>
      <c r="AG269" s="8"/>
      <c r="AH269" s="8"/>
      <c r="AI269" s="8"/>
      <c r="AJ269" s="8"/>
      <c r="AK269" s="8"/>
      <c r="AL269" s="8"/>
      <c r="AM269" s="8"/>
      <c r="AN269" s="8"/>
      <c r="AO269" s="8"/>
      <c r="AP269" s="8"/>
      <c r="AQ269" s="8"/>
      <c r="AR269" s="8"/>
      <c r="AS269" s="8"/>
      <c r="AU269" s="8"/>
      <c r="AV269" s="8"/>
      <c r="AW269" s="8"/>
      <c r="AX269" s="8"/>
      <c r="AY269" s="8"/>
      <c r="AZ269" s="8"/>
      <c r="BA269" s="8"/>
      <c r="BB269" s="8"/>
      <c r="BC269" s="8"/>
      <c r="BD269" s="8"/>
      <c r="BE269" s="8"/>
      <c r="BF269" s="8"/>
      <c r="BG269" s="8"/>
      <c r="BH269" s="8"/>
    </row>
    <row r="270" spans="1:60" x14ac:dyDescent="0.3">
      <c r="A270" s="44" t="s">
        <v>180</v>
      </c>
      <c r="B270" s="10">
        <f>IFERROR(B268/B266,0)</f>
        <v>0</v>
      </c>
      <c r="C270" s="10">
        <f t="shared" ref="C270:O270" si="15">IFERROR(C268/C266,0)</f>
        <v>0</v>
      </c>
      <c r="D270" s="10">
        <f t="shared" si="15"/>
        <v>0</v>
      </c>
      <c r="E270" s="10">
        <f t="shared" si="15"/>
        <v>0</v>
      </c>
      <c r="F270" s="10">
        <f t="shared" si="15"/>
        <v>0</v>
      </c>
      <c r="G270" s="10">
        <f t="shared" si="15"/>
        <v>0</v>
      </c>
      <c r="H270" s="10">
        <f t="shared" si="15"/>
        <v>0</v>
      </c>
      <c r="I270" s="10">
        <f t="shared" si="15"/>
        <v>0</v>
      </c>
      <c r="J270" s="10">
        <f t="shared" si="15"/>
        <v>0</v>
      </c>
      <c r="K270" s="10">
        <f t="shared" si="15"/>
        <v>0</v>
      </c>
      <c r="L270" s="10">
        <f t="shared" si="15"/>
        <v>0</v>
      </c>
      <c r="M270" s="10">
        <f t="shared" si="15"/>
        <v>0</v>
      </c>
      <c r="N270" s="10">
        <f t="shared" si="15"/>
        <v>0</v>
      </c>
      <c r="O270" s="10">
        <f t="shared" si="15"/>
        <v>0</v>
      </c>
      <c r="Q270" s="8"/>
      <c r="R270" s="8"/>
      <c r="S270" s="8"/>
      <c r="T270" s="8"/>
      <c r="U270" s="8"/>
      <c r="V270" s="8"/>
      <c r="W270" s="8"/>
      <c r="X270" s="8"/>
      <c r="Y270" s="8"/>
      <c r="Z270" s="8"/>
      <c r="AA270" s="8"/>
      <c r="AB270" s="8"/>
      <c r="AC270" s="8"/>
      <c r="AD270" s="8"/>
      <c r="AF270" s="8"/>
      <c r="AG270" s="8"/>
      <c r="AH270" s="8"/>
      <c r="AI270" s="8"/>
      <c r="AJ270" s="8"/>
      <c r="AK270" s="8"/>
      <c r="AL270" s="8"/>
      <c r="AM270" s="8"/>
      <c r="AN270" s="8"/>
      <c r="AO270" s="8"/>
      <c r="AP270" s="8"/>
      <c r="AQ270" s="8"/>
      <c r="AR270" s="8"/>
      <c r="AS270" s="8"/>
      <c r="AU270" s="8"/>
      <c r="AV270" s="8"/>
      <c r="AW270" s="8"/>
      <c r="AX270" s="8"/>
      <c r="AY270" s="8"/>
      <c r="AZ270" s="8"/>
      <c r="BA270" s="8"/>
      <c r="BB270" s="8"/>
      <c r="BC270" s="8"/>
      <c r="BD270" s="8"/>
      <c r="BE270" s="8"/>
      <c r="BF270" s="8"/>
      <c r="BG270" s="8"/>
      <c r="BH270" s="8"/>
    </row>
    <row r="271" spans="1:60" x14ac:dyDescent="0.3">
      <c r="B271" s="8"/>
      <c r="C271" s="8"/>
      <c r="D271" s="8"/>
      <c r="E271" s="8"/>
      <c r="F271" s="8"/>
      <c r="G271" s="8"/>
      <c r="H271" s="8"/>
      <c r="I271" s="8"/>
      <c r="J271" s="8"/>
      <c r="K271" s="8"/>
      <c r="L271" s="8"/>
      <c r="M271" s="8"/>
      <c r="N271" s="8"/>
      <c r="O271" s="8"/>
      <c r="Q271" s="8"/>
      <c r="R271" s="8"/>
      <c r="S271" s="8"/>
      <c r="T271" s="8"/>
      <c r="U271" s="8"/>
      <c r="V271" s="8"/>
      <c r="W271" s="8"/>
      <c r="X271" s="8"/>
      <c r="Y271" s="8"/>
      <c r="Z271" s="8"/>
      <c r="AA271" s="8"/>
      <c r="AB271" s="8"/>
      <c r="AC271" s="8"/>
      <c r="AD271" s="8"/>
      <c r="AF271" s="8"/>
      <c r="AG271" s="8"/>
      <c r="AH271" s="8"/>
      <c r="AI271" s="8"/>
      <c r="AJ271" s="8"/>
      <c r="AK271" s="8"/>
      <c r="AL271" s="8"/>
      <c r="AM271" s="8"/>
      <c r="AN271" s="8"/>
      <c r="AO271" s="8"/>
      <c r="AP271" s="8"/>
      <c r="AQ271" s="8"/>
      <c r="AR271" s="8"/>
      <c r="AS271" s="8"/>
      <c r="AU271" s="8"/>
      <c r="AV271" s="8"/>
      <c r="AW271" s="8"/>
      <c r="AX271" s="8"/>
      <c r="AY271" s="8"/>
      <c r="AZ271" s="8"/>
      <c r="BA271" s="8"/>
      <c r="BB271" s="8"/>
      <c r="BC271" s="8"/>
      <c r="BD271" s="8"/>
      <c r="BE271" s="8"/>
      <c r="BF271" s="8"/>
      <c r="BG271" s="8"/>
      <c r="BH271" s="8"/>
    </row>
    <row r="272" spans="1:60" ht="21" x14ac:dyDescent="0.3">
      <c r="A272" s="31" t="s">
        <v>171</v>
      </c>
    </row>
    <row r="273" spans="1:30" x14ac:dyDescent="0.3">
      <c r="Q273" s="43"/>
    </row>
    <row r="274" spans="1:30" x14ac:dyDescent="0.3">
      <c r="A274" s="4"/>
      <c r="B274" s="9">
        <f t="shared" ref="B274:N274" si="16">B240</f>
        <v>45748</v>
      </c>
      <c r="C274" s="9">
        <f t="shared" si="16"/>
        <v>45778</v>
      </c>
      <c r="D274" s="9">
        <f t="shared" si="16"/>
        <v>45809</v>
      </c>
      <c r="E274" s="9">
        <f t="shared" si="16"/>
        <v>45839</v>
      </c>
      <c r="F274" s="9">
        <f t="shared" si="16"/>
        <v>45870</v>
      </c>
      <c r="G274" s="9">
        <f t="shared" si="16"/>
        <v>45901</v>
      </c>
      <c r="H274" s="9">
        <f t="shared" si="16"/>
        <v>45931</v>
      </c>
      <c r="I274" s="9">
        <f t="shared" si="16"/>
        <v>45962</v>
      </c>
      <c r="J274" s="9">
        <f t="shared" si="16"/>
        <v>45992</v>
      </c>
      <c r="K274" s="9">
        <f t="shared" si="16"/>
        <v>46023</v>
      </c>
      <c r="L274" s="9">
        <f t="shared" si="16"/>
        <v>46054</v>
      </c>
      <c r="M274" s="9">
        <f t="shared" si="16"/>
        <v>46082</v>
      </c>
      <c r="N274" s="9">
        <f t="shared" si="16"/>
        <v>46113</v>
      </c>
      <c r="O274" s="9">
        <f t="shared" ref="O274" si="17">O240</f>
        <v>46143</v>
      </c>
    </row>
    <row r="275" spans="1:30" ht="55.2" x14ac:dyDescent="0.3">
      <c r="A275" s="22" t="s">
        <v>164</v>
      </c>
      <c r="B275" s="4"/>
      <c r="C275" s="4"/>
      <c r="D275" s="4"/>
      <c r="E275" s="4"/>
      <c r="F275" s="4"/>
      <c r="G275" s="4"/>
      <c r="H275" s="4"/>
      <c r="I275" s="4"/>
      <c r="J275" s="4"/>
      <c r="K275" s="4"/>
      <c r="L275" s="4"/>
      <c r="M275" s="4"/>
      <c r="N275" s="4"/>
      <c r="O275" s="4"/>
      <c r="P275" t="s">
        <v>157</v>
      </c>
      <c r="AD275" t="s">
        <v>157</v>
      </c>
    </row>
    <row r="276" spans="1:30" x14ac:dyDescent="0.3">
      <c r="A276" s="4" t="s">
        <v>21</v>
      </c>
      <c r="B276" s="10" t="str">
        <f>'CSAT-AVH'!H118</f>
        <v/>
      </c>
      <c r="C276" s="10" t="str">
        <f>'CSAT-AVH'!K118</f>
        <v/>
      </c>
      <c r="D276" s="10" t="str">
        <f>'CSAT-AVH'!N118</f>
        <v/>
      </c>
      <c r="E276" s="10" t="str">
        <f>'CSAT-AVH'!Q118</f>
        <v/>
      </c>
      <c r="F276" s="10" t="str">
        <f>'CSAT-AVH'!T118</f>
        <v/>
      </c>
      <c r="G276" s="10" t="str">
        <f>'CSAT-AVH'!W118</f>
        <v/>
      </c>
      <c r="H276" s="10" t="str">
        <f>'CSAT-AVH'!Z118</f>
        <v/>
      </c>
      <c r="I276" s="10" t="str">
        <f>'CSAT-AVH'!AC118</f>
        <v/>
      </c>
      <c r="J276" s="10">
        <f>'CSAT-AVH'!AF118</f>
        <v>1</v>
      </c>
      <c r="K276" s="10" t="str">
        <f>'CSAT-AVH'!AI118</f>
        <v/>
      </c>
      <c r="L276" s="10" t="str">
        <f>'CSAT-AVH'!AL118</f>
        <v/>
      </c>
      <c r="M276" s="10" t="str">
        <f>'CSAT-AVH'!AO118</f>
        <v/>
      </c>
      <c r="N276" s="10" t="e">
        <f>'CSAT-AVH'!#REF!</f>
        <v>#REF!</v>
      </c>
      <c r="O276" s="10" t="e">
        <f>'CSAT-AVH'!#REF!</f>
        <v>#REF!</v>
      </c>
    </row>
    <row r="277" spans="1:30" x14ac:dyDescent="0.3">
      <c r="A277" s="4" t="s">
        <v>51</v>
      </c>
      <c r="B277" s="10" t="str">
        <f>'CSAT-AVH'!H117</f>
        <v/>
      </c>
      <c r="C277" s="10" t="str">
        <f>'CSAT-AVH'!K117</f>
        <v/>
      </c>
      <c r="D277" s="10" t="str">
        <f>'CSAT-AVH'!N117</f>
        <v/>
      </c>
      <c r="E277" s="10" t="str">
        <f>'CSAT-AVH'!Q117</f>
        <v/>
      </c>
      <c r="F277" s="10" t="str">
        <f>'CSAT-AVH'!T117</f>
        <v/>
      </c>
      <c r="G277" s="10" t="str">
        <f>'CSAT-AVH'!W117</f>
        <v/>
      </c>
      <c r="H277" s="10" t="str">
        <f>'CSAT-AVH'!Z117</f>
        <v/>
      </c>
      <c r="I277" s="10" t="str">
        <f>'CSAT-AVH'!AC117</f>
        <v/>
      </c>
      <c r="J277" s="10">
        <f>'CSAT-AVH'!AF117</f>
        <v>0</v>
      </c>
      <c r="K277" s="10" t="str">
        <f>'CSAT-AVH'!AI117</f>
        <v/>
      </c>
      <c r="L277" s="10" t="str">
        <f>'CSAT-AVH'!AL117</f>
        <v/>
      </c>
      <c r="M277" s="10" t="str">
        <f>'CSAT-AVH'!AO117</f>
        <v/>
      </c>
      <c r="N277" s="10" t="e">
        <f>'CSAT-AVH'!#REF!</f>
        <v>#REF!</v>
      </c>
      <c r="O277" s="10" t="e">
        <f>'CSAT-AVH'!#REF!</f>
        <v>#REF!</v>
      </c>
    </row>
    <row r="279" spans="1:30" ht="18" x14ac:dyDescent="0.3">
      <c r="A279" s="40" t="s">
        <v>172</v>
      </c>
    </row>
    <row r="280" spans="1:30" ht="21" x14ac:dyDescent="0.3">
      <c r="A280" s="34"/>
      <c r="B280" s="9">
        <f t="shared" ref="B280:N280" si="18">B240</f>
        <v>45748</v>
      </c>
      <c r="C280" s="9">
        <f t="shared" si="18"/>
        <v>45778</v>
      </c>
      <c r="D280" s="9">
        <f t="shared" si="18"/>
        <v>45809</v>
      </c>
      <c r="E280" s="9">
        <f t="shared" si="18"/>
        <v>45839</v>
      </c>
      <c r="F280" s="9">
        <f t="shared" si="18"/>
        <v>45870</v>
      </c>
      <c r="G280" s="9">
        <f t="shared" si="18"/>
        <v>45901</v>
      </c>
      <c r="H280" s="9">
        <f t="shared" si="18"/>
        <v>45931</v>
      </c>
      <c r="I280" s="9">
        <f t="shared" si="18"/>
        <v>45962</v>
      </c>
      <c r="J280" s="9">
        <f t="shared" si="18"/>
        <v>45992</v>
      </c>
      <c r="K280" s="9">
        <f t="shared" si="18"/>
        <v>46023</v>
      </c>
      <c r="L280" s="9">
        <f t="shared" si="18"/>
        <v>46054</v>
      </c>
      <c r="M280" s="9">
        <f t="shared" si="18"/>
        <v>46082</v>
      </c>
      <c r="N280" s="9">
        <f t="shared" si="18"/>
        <v>46113</v>
      </c>
      <c r="O280" s="9">
        <f t="shared" ref="O280" si="19">O240</f>
        <v>46143</v>
      </c>
    </row>
    <row r="281" spans="1:30" ht="41.4" x14ac:dyDescent="0.3">
      <c r="A281" s="22" t="s">
        <v>169</v>
      </c>
      <c r="B281" s="4"/>
      <c r="C281" s="4"/>
      <c r="D281" s="4"/>
      <c r="E281" s="4"/>
      <c r="F281" s="4"/>
      <c r="G281" s="4"/>
      <c r="H281" s="4"/>
      <c r="I281" s="4"/>
      <c r="J281" s="4"/>
      <c r="K281" s="4"/>
      <c r="L281" s="4"/>
      <c r="M281" s="4"/>
      <c r="N281" s="4"/>
      <c r="O281" s="4"/>
    </row>
    <row r="282" spans="1:30" x14ac:dyDescent="0.3">
      <c r="A282" s="33" t="s">
        <v>119</v>
      </c>
      <c r="B282" s="10">
        <f>'CSAT-AVH'!H9</f>
        <v>1</v>
      </c>
      <c r="C282" s="10" t="str">
        <f>'CSAT-AVH'!K9</f>
        <v/>
      </c>
      <c r="D282" s="10" t="str">
        <f>'CSAT-AVH'!N9</f>
        <v/>
      </c>
      <c r="E282" s="10" t="str">
        <f>'CSAT-AVH'!Q9</f>
        <v/>
      </c>
      <c r="F282" s="10" t="str">
        <f>'CSAT-AVH'!T9</f>
        <v/>
      </c>
      <c r="G282" s="10" t="str">
        <f>'CSAT-AVH'!W9</f>
        <v/>
      </c>
      <c r="H282" s="10" t="str">
        <f>'CSAT-AVH'!Z9</f>
        <v/>
      </c>
      <c r="I282" s="10" t="str">
        <f>'CSAT-AVH'!AC9</f>
        <v/>
      </c>
      <c r="J282" s="10" t="str">
        <f>'CSAT-AVH'!AF9</f>
        <v/>
      </c>
      <c r="K282" s="10" t="str">
        <f>'CSAT-AVH'!AI9</f>
        <v/>
      </c>
      <c r="L282" s="10" t="str">
        <f>'CSAT-AVH'!AL9</f>
        <v/>
      </c>
      <c r="M282" s="10" t="str">
        <f>'CSAT-AVH'!AO9</f>
        <v/>
      </c>
      <c r="N282" s="10" t="e">
        <f>'CSAT-AVH'!#REF!</f>
        <v>#REF!</v>
      </c>
      <c r="O282" s="10" t="e">
        <f>'CSAT-AVH'!#REF!</f>
        <v>#REF!</v>
      </c>
    </row>
    <row r="283" spans="1:30" x14ac:dyDescent="0.3">
      <c r="A283" s="33" t="s">
        <v>120</v>
      </c>
      <c r="B283" s="10">
        <f>'CSAT-AVH'!H10</f>
        <v>0</v>
      </c>
      <c r="C283" s="10" t="str">
        <f>'CSAT-AVH'!K10</f>
        <v/>
      </c>
      <c r="D283" s="10" t="str">
        <f>'CSAT-AVH'!N10</f>
        <v/>
      </c>
      <c r="E283" s="10" t="str">
        <f>'CSAT-AVH'!Q10</f>
        <v/>
      </c>
      <c r="F283" s="10" t="str">
        <f>'CSAT-AVH'!T10</f>
        <v/>
      </c>
      <c r="G283" s="10" t="str">
        <f>'CSAT-AVH'!W10</f>
        <v/>
      </c>
      <c r="H283" s="10" t="str">
        <f>'CSAT-AVH'!Z10</f>
        <v/>
      </c>
      <c r="I283" s="10" t="str">
        <f>'CSAT-AVH'!AC10</f>
        <v/>
      </c>
      <c r="J283" s="10" t="str">
        <f>'CSAT-AVH'!AF10</f>
        <v/>
      </c>
      <c r="K283" s="10" t="str">
        <f>'CSAT-AVH'!AI10</f>
        <v/>
      </c>
      <c r="L283" s="10" t="str">
        <f>'CSAT-AVH'!AL10</f>
        <v/>
      </c>
      <c r="M283" s="10" t="str">
        <f>'CSAT-AVH'!AO10</f>
        <v/>
      </c>
      <c r="N283" s="10" t="e">
        <f>'CSAT-AVH'!#REF!</f>
        <v>#REF!</v>
      </c>
      <c r="O283" s="10" t="e">
        <f>'CSAT-AVH'!#REF!</f>
        <v>#REF!</v>
      </c>
    </row>
    <row r="284" spans="1:30" x14ac:dyDescent="0.3">
      <c r="A284" s="33" t="s">
        <v>121</v>
      </c>
      <c r="B284" s="10">
        <f>'CSAT-AVH'!H11</f>
        <v>0</v>
      </c>
      <c r="C284" s="10" t="str">
        <f>'CSAT-AVH'!K11</f>
        <v/>
      </c>
      <c r="D284" s="10" t="str">
        <f>'CSAT-AVH'!N11</f>
        <v/>
      </c>
      <c r="E284" s="10" t="str">
        <f>'CSAT-AVH'!Q11</f>
        <v/>
      </c>
      <c r="F284" s="10" t="str">
        <f>'CSAT-AVH'!T11</f>
        <v/>
      </c>
      <c r="G284" s="10" t="str">
        <f>'CSAT-AVH'!W11</f>
        <v/>
      </c>
      <c r="H284" s="10" t="str">
        <f>'CSAT-AVH'!Z11</f>
        <v/>
      </c>
      <c r="I284" s="10" t="str">
        <f>'CSAT-AVH'!AC11</f>
        <v/>
      </c>
      <c r="J284" s="10" t="str">
        <f>'CSAT-AVH'!AF11</f>
        <v/>
      </c>
      <c r="K284" s="10" t="str">
        <f>'CSAT-AVH'!AI11</f>
        <v/>
      </c>
      <c r="L284" s="10" t="str">
        <f>'CSAT-AVH'!AL11</f>
        <v/>
      </c>
      <c r="M284" s="10" t="str">
        <f>'CSAT-AVH'!AO11</f>
        <v/>
      </c>
      <c r="N284" s="10" t="e">
        <f>'CSAT-AVH'!#REF!</f>
        <v>#REF!</v>
      </c>
      <c r="O284" s="10" t="e">
        <f>'CSAT-AVH'!#REF!</f>
        <v>#REF!</v>
      </c>
    </row>
    <row r="285" spans="1:30" x14ac:dyDescent="0.3">
      <c r="A285" s="33" t="s">
        <v>122</v>
      </c>
      <c r="B285" s="10">
        <f>'CSAT-AVH'!H12</f>
        <v>0</v>
      </c>
      <c r="C285" s="10" t="str">
        <f>'CSAT-AVH'!K12</f>
        <v/>
      </c>
      <c r="D285" s="10" t="str">
        <f>'CSAT-AVH'!N12</f>
        <v/>
      </c>
      <c r="E285" s="10" t="str">
        <f>'CSAT-AVH'!Q12</f>
        <v/>
      </c>
      <c r="F285" s="10" t="str">
        <f>'CSAT-AVH'!T12</f>
        <v/>
      </c>
      <c r="G285" s="10" t="str">
        <f>'CSAT-AVH'!W12</f>
        <v/>
      </c>
      <c r="H285" s="10" t="str">
        <f>'CSAT-AVH'!Z12</f>
        <v/>
      </c>
      <c r="I285" s="10" t="str">
        <f>'CSAT-AVH'!AC12</f>
        <v/>
      </c>
      <c r="J285" s="10" t="str">
        <f>'CSAT-AVH'!AF12</f>
        <v/>
      </c>
      <c r="K285" s="10" t="str">
        <f>'CSAT-AVH'!AI12</f>
        <v/>
      </c>
      <c r="L285" s="10" t="str">
        <f>'CSAT-AVH'!AL12</f>
        <v/>
      </c>
      <c r="M285" s="10" t="str">
        <f>'CSAT-AVH'!AO12</f>
        <v/>
      </c>
      <c r="N285" s="10" t="e">
        <f>'CSAT-AVH'!#REF!</f>
        <v>#REF!</v>
      </c>
      <c r="O285" s="10" t="e">
        <f>'CSAT-AVH'!#REF!</f>
        <v>#REF!</v>
      </c>
    </row>
    <row r="286" spans="1:30" x14ac:dyDescent="0.3">
      <c r="A286" s="33" t="s">
        <v>123</v>
      </c>
      <c r="B286" s="10">
        <f>'CSAT-AVH'!H13</f>
        <v>0</v>
      </c>
      <c r="C286" s="10" t="str">
        <f>'CSAT-AVH'!K13</f>
        <v/>
      </c>
      <c r="D286" s="10" t="str">
        <f>'CSAT-AVH'!N13</f>
        <v/>
      </c>
      <c r="E286" s="10" t="str">
        <f>'CSAT-AVH'!Q13</f>
        <v/>
      </c>
      <c r="F286" s="10" t="str">
        <f>'CSAT-AVH'!T13</f>
        <v/>
      </c>
      <c r="G286" s="10" t="str">
        <f>'CSAT-AVH'!W13</f>
        <v/>
      </c>
      <c r="H286" s="10" t="str">
        <f>'CSAT-AVH'!Z13</f>
        <v/>
      </c>
      <c r="I286" s="10" t="str">
        <f>'CSAT-AVH'!AC13</f>
        <v/>
      </c>
      <c r="J286" s="10" t="str">
        <f>'CSAT-AVH'!AF13</f>
        <v/>
      </c>
      <c r="K286" s="10" t="str">
        <f>'CSAT-AVH'!AI13</f>
        <v/>
      </c>
      <c r="L286" s="10" t="str">
        <f>'CSAT-AVH'!AL13</f>
        <v/>
      </c>
      <c r="M286" s="10" t="str">
        <f>'CSAT-AVH'!AO13</f>
        <v/>
      </c>
      <c r="N286" s="10" t="e">
        <f>'CSAT-AVH'!#REF!</f>
        <v>#REF!</v>
      </c>
      <c r="O286" s="10" t="e">
        <f>'CSAT-AVH'!#REF!</f>
        <v>#REF!</v>
      </c>
    </row>
    <row r="288" spans="1:30" ht="18" x14ac:dyDescent="0.3">
      <c r="A288" s="40" t="s">
        <v>71</v>
      </c>
    </row>
    <row r="289" spans="1:15" x14ac:dyDescent="0.3">
      <c r="A289" s="4"/>
      <c r="B289" s="9">
        <f t="shared" ref="B289:N289" si="20">B240</f>
        <v>45748</v>
      </c>
      <c r="C289" s="9">
        <f t="shared" si="20"/>
        <v>45778</v>
      </c>
      <c r="D289" s="9">
        <f t="shared" si="20"/>
        <v>45809</v>
      </c>
      <c r="E289" s="9">
        <f t="shared" si="20"/>
        <v>45839</v>
      </c>
      <c r="F289" s="37">
        <f t="shared" si="20"/>
        <v>45870</v>
      </c>
      <c r="G289" s="37">
        <f t="shared" si="20"/>
        <v>45901</v>
      </c>
      <c r="H289" s="37">
        <f t="shared" si="20"/>
        <v>45931</v>
      </c>
      <c r="I289" s="37">
        <f t="shared" si="20"/>
        <v>45962</v>
      </c>
      <c r="J289" s="37">
        <f t="shared" si="20"/>
        <v>45992</v>
      </c>
      <c r="K289" s="37">
        <f t="shared" si="20"/>
        <v>46023</v>
      </c>
      <c r="L289" s="37">
        <f t="shared" si="20"/>
        <v>46054</v>
      </c>
      <c r="M289" s="37">
        <f t="shared" si="20"/>
        <v>46082</v>
      </c>
      <c r="N289" s="37">
        <f t="shared" si="20"/>
        <v>46113</v>
      </c>
      <c r="O289" s="37">
        <f t="shared" ref="O289" si="21">O240</f>
        <v>46143</v>
      </c>
    </row>
    <row r="290" spans="1:15" ht="43.2" x14ac:dyDescent="0.3">
      <c r="A290" s="35" t="s">
        <v>71</v>
      </c>
      <c r="B290" s="4"/>
      <c r="C290" s="4"/>
      <c r="D290" s="4"/>
      <c r="E290" s="4"/>
      <c r="F290" s="4"/>
      <c r="G290" s="4"/>
      <c r="H290" s="4"/>
      <c r="I290" s="4"/>
      <c r="J290" s="4"/>
      <c r="K290" s="4"/>
      <c r="L290" s="4"/>
      <c r="M290" s="4"/>
      <c r="N290" s="4"/>
      <c r="O290" s="4"/>
    </row>
    <row r="291" spans="1:15" x14ac:dyDescent="0.3">
      <c r="A291" s="33" t="s">
        <v>120</v>
      </c>
      <c r="B291" s="10">
        <f>'CSAT-AVH'!H16</f>
        <v>0</v>
      </c>
      <c r="C291" s="10" t="str">
        <f>'CSAT-AVH'!K16</f>
        <v/>
      </c>
      <c r="D291" s="10" t="str">
        <f>'CSAT-AVH'!N16</f>
        <v/>
      </c>
      <c r="E291" s="10" t="str">
        <f>'CSAT-AVH'!Q16</f>
        <v/>
      </c>
      <c r="F291" s="10" t="str">
        <f>'CSAT-AVH'!T16</f>
        <v/>
      </c>
      <c r="G291" s="10" t="str">
        <f>'CSAT-AVH'!W16</f>
        <v/>
      </c>
      <c r="H291" s="10" t="str">
        <f>'CSAT-AVH'!Z16</f>
        <v/>
      </c>
      <c r="I291" s="10" t="str">
        <f>'CSAT-AVH'!AC16</f>
        <v/>
      </c>
      <c r="J291" s="10" t="str">
        <f>'CSAT-AVH'!AF16</f>
        <v/>
      </c>
      <c r="K291" s="10" t="str">
        <f>'CSAT-AVH'!AI16</f>
        <v/>
      </c>
      <c r="L291" s="10" t="str">
        <f>'CSAT-AVH'!AL16</f>
        <v/>
      </c>
      <c r="M291" s="10" t="str">
        <f>'CSAT-AVH'!AO16</f>
        <v/>
      </c>
      <c r="N291" s="10" t="e">
        <f>'CSAT-AVH'!#REF!</f>
        <v>#REF!</v>
      </c>
      <c r="O291" s="10" t="e">
        <f>'CSAT-AVH'!#REF!</f>
        <v>#REF!</v>
      </c>
    </row>
    <row r="292" spans="1:15" x14ac:dyDescent="0.3">
      <c r="A292" s="33" t="s">
        <v>119</v>
      </c>
      <c r="B292" s="10">
        <f>'CSAT-AVH'!H15</f>
        <v>1</v>
      </c>
      <c r="C292" s="10" t="str">
        <f>'CSAT-AVH'!K15</f>
        <v/>
      </c>
      <c r="D292" s="10" t="str">
        <f>'CSAT-AVH'!N15</f>
        <v/>
      </c>
      <c r="E292" s="10" t="str">
        <f>'CSAT-AVH'!Q15</f>
        <v/>
      </c>
      <c r="F292" s="10" t="str">
        <f>'CSAT-AVH'!T15</f>
        <v/>
      </c>
      <c r="G292" s="10" t="str">
        <f>'CSAT-AVH'!W15</f>
        <v/>
      </c>
      <c r="H292" s="10" t="str">
        <f>'CSAT-AVH'!Z15</f>
        <v/>
      </c>
      <c r="I292" s="10" t="str">
        <f>'CSAT-AVH'!AC15</f>
        <v/>
      </c>
      <c r="J292" s="10" t="str">
        <f>'CSAT-AVH'!AF15</f>
        <v/>
      </c>
      <c r="K292" s="10" t="str">
        <f>'CSAT-AVH'!AI15</f>
        <v/>
      </c>
      <c r="L292" s="10" t="str">
        <f>'CSAT-AVH'!AL15</f>
        <v/>
      </c>
      <c r="M292" s="10" t="str">
        <f>'CSAT-AVH'!AO15</f>
        <v/>
      </c>
      <c r="N292" s="10" t="e">
        <f>'CSAT-AVH'!#REF!</f>
        <v>#REF!</v>
      </c>
      <c r="O292" s="10" t="e">
        <f>'CSAT-AVH'!#REF!</f>
        <v>#REF!</v>
      </c>
    </row>
    <row r="293" spans="1:15" x14ac:dyDescent="0.3">
      <c r="A293" s="33" t="s">
        <v>121</v>
      </c>
      <c r="B293" s="10">
        <f>'CSAT-AVH'!H17</f>
        <v>0</v>
      </c>
      <c r="C293" s="10" t="str">
        <f>'CSAT-AVH'!K17</f>
        <v/>
      </c>
      <c r="D293" s="10" t="str">
        <f>'CSAT-AVH'!N17</f>
        <v/>
      </c>
      <c r="E293" s="10" t="str">
        <f>'CSAT-AVH'!Q17</f>
        <v/>
      </c>
      <c r="F293" s="10" t="str">
        <f>'CSAT-AVH'!T17</f>
        <v/>
      </c>
      <c r="G293" s="10" t="str">
        <f>'CSAT-AVH'!W17</f>
        <v/>
      </c>
      <c r="H293" s="10" t="str">
        <f>'CSAT-AVH'!Z17</f>
        <v/>
      </c>
      <c r="I293" s="10" t="str">
        <f>'CSAT-AVH'!AC17</f>
        <v/>
      </c>
      <c r="J293" s="10" t="str">
        <f>'CSAT-AVH'!AF17</f>
        <v/>
      </c>
      <c r="K293" s="10" t="str">
        <f>'CSAT-AVH'!AI17</f>
        <v/>
      </c>
      <c r="L293" s="10" t="str">
        <f>'CSAT-AVH'!AL17</f>
        <v/>
      </c>
      <c r="M293" s="10" t="str">
        <f>'CSAT-AVH'!AO17</f>
        <v/>
      </c>
      <c r="N293" s="10" t="e">
        <f>'CSAT-AVH'!#REF!</f>
        <v>#REF!</v>
      </c>
      <c r="O293" s="10" t="e">
        <f>'CSAT-AVH'!#REF!</f>
        <v>#REF!</v>
      </c>
    </row>
    <row r="294" spans="1:15" x14ac:dyDescent="0.3">
      <c r="A294" s="33" t="s">
        <v>122</v>
      </c>
      <c r="B294" s="10">
        <f>'CSAT-AVH'!H18</f>
        <v>0</v>
      </c>
      <c r="C294" s="10" t="str">
        <f>'CSAT-AVH'!K18</f>
        <v/>
      </c>
      <c r="D294" s="10" t="str">
        <f>'CSAT-AVH'!N18</f>
        <v/>
      </c>
      <c r="E294" s="10" t="str">
        <f>'CSAT-AVH'!Q18</f>
        <v/>
      </c>
      <c r="F294" s="10" t="str">
        <f>'CSAT-AVH'!T18</f>
        <v/>
      </c>
      <c r="G294" s="10" t="str">
        <f>'CSAT-AVH'!W18</f>
        <v/>
      </c>
      <c r="H294" s="10" t="str">
        <f>'CSAT-AVH'!Z18</f>
        <v/>
      </c>
      <c r="I294" s="10" t="str">
        <f>'CSAT-AVH'!AC18</f>
        <v/>
      </c>
      <c r="J294" s="10" t="str">
        <f>'CSAT-AVH'!AF18</f>
        <v/>
      </c>
      <c r="K294" s="10" t="str">
        <f>'CSAT-AVH'!AI18</f>
        <v/>
      </c>
      <c r="L294" s="10" t="str">
        <f>'CSAT-AVH'!AL18</f>
        <v/>
      </c>
      <c r="M294" s="10" t="str">
        <f>'CSAT-AVH'!AO18</f>
        <v/>
      </c>
      <c r="N294" s="10" t="e">
        <f>'CSAT-AVH'!#REF!</f>
        <v>#REF!</v>
      </c>
      <c r="O294" s="10" t="e">
        <f>'CSAT-AVH'!#REF!</f>
        <v>#REF!</v>
      </c>
    </row>
    <row r="295" spans="1:15" x14ac:dyDescent="0.3">
      <c r="A295" s="33" t="s">
        <v>123</v>
      </c>
      <c r="B295" s="10">
        <f>'CSAT-AVH'!H19</f>
        <v>0</v>
      </c>
      <c r="C295" s="10" t="str">
        <f>'CSAT-AVH'!K19</f>
        <v/>
      </c>
      <c r="D295" s="10" t="str">
        <f>'CSAT-AVH'!N19</f>
        <v/>
      </c>
      <c r="E295" s="10" t="str">
        <f>'CSAT-AVH'!Q19</f>
        <v/>
      </c>
      <c r="F295" s="10" t="str">
        <f>'CSAT-AVH'!T19</f>
        <v/>
      </c>
      <c r="G295" s="10" t="str">
        <f>'CSAT-AVH'!W19</f>
        <v/>
      </c>
      <c r="H295" s="10" t="str">
        <f>'CSAT-AVH'!Z19</f>
        <v/>
      </c>
      <c r="I295" s="10" t="str">
        <f>'CSAT-AVH'!AC19</f>
        <v/>
      </c>
      <c r="J295" s="10" t="str">
        <f>'CSAT-AVH'!AF19</f>
        <v/>
      </c>
      <c r="K295" s="10" t="str">
        <f>'CSAT-AVH'!AI19</f>
        <v/>
      </c>
      <c r="L295" s="10" t="str">
        <f>'CSAT-AVH'!AL19</f>
        <v/>
      </c>
      <c r="M295" s="10" t="str">
        <f>'CSAT-AVH'!AO19</f>
        <v/>
      </c>
      <c r="N295" s="10" t="e">
        <f>'CSAT-AVH'!#REF!</f>
        <v>#REF!</v>
      </c>
      <c r="O295" s="10" t="e">
        <f>'CSAT-AVH'!#REF!</f>
        <v>#REF!</v>
      </c>
    </row>
    <row r="296" spans="1:15" ht="18" x14ac:dyDescent="0.3">
      <c r="A296" s="40" t="s">
        <v>72</v>
      </c>
    </row>
    <row r="297" spans="1:15" ht="21" x14ac:dyDescent="0.3">
      <c r="A297" s="34"/>
      <c r="B297" s="9">
        <f t="shared" ref="B297:N297" si="22">B240</f>
        <v>45748</v>
      </c>
      <c r="C297" s="9">
        <f t="shared" si="22"/>
        <v>45778</v>
      </c>
      <c r="D297" s="9">
        <f t="shared" si="22"/>
        <v>45809</v>
      </c>
      <c r="E297" s="9">
        <f t="shared" si="22"/>
        <v>45839</v>
      </c>
      <c r="F297" s="9">
        <f t="shared" si="22"/>
        <v>45870</v>
      </c>
      <c r="G297" s="9">
        <f t="shared" si="22"/>
        <v>45901</v>
      </c>
      <c r="H297" s="9">
        <f t="shared" si="22"/>
        <v>45931</v>
      </c>
      <c r="I297" s="9">
        <f t="shared" si="22"/>
        <v>45962</v>
      </c>
      <c r="J297" s="9">
        <f t="shared" si="22"/>
        <v>45992</v>
      </c>
      <c r="K297" s="9">
        <f t="shared" si="22"/>
        <v>46023</v>
      </c>
      <c r="L297" s="9">
        <f t="shared" si="22"/>
        <v>46054</v>
      </c>
      <c r="M297" s="9">
        <f t="shared" si="22"/>
        <v>46082</v>
      </c>
      <c r="N297" s="9">
        <f t="shared" si="22"/>
        <v>46113</v>
      </c>
      <c r="O297" s="9">
        <f t="shared" ref="O297" si="23">O240</f>
        <v>46143</v>
      </c>
    </row>
    <row r="298" spans="1:15" ht="41.4" x14ac:dyDescent="0.3">
      <c r="A298" s="22" t="s">
        <v>72</v>
      </c>
      <c r="B298" s="4"/>
      <c r="C298" s="4"/>
      <c r="D298" s="4"/>
      <c r="E298" s="4"/>
      <c r="F298" s="4"/>
      <c r="G298" s="4"/>
      <c r="H298" s="4"/>
      <c r="I298" s="4"/>
      <c r="J298" s="4"/>
      <c r="K298" s="4"/>
      <c r="L298" s="4"/>
      <c r="M298" s="4"/>
      <c r="N298" s="4"/>
      <c r="O298" s="4"/>
    </row>
    <row r="299" spans="1:15" x14ac:dyDescent="0.3">
      <c r="A299" s="33" t="s">
        <v>120</v>
      </c>
      <c r="B299" s="10">
        <f>'CSAT-AVH'!H22</f>
        <v>0</v>
      </c>
      <c r="C299" s="10" t="str">
        <f>'CSAT-AVH'!K22</f>
        <v/>
      </c>
      <c r="D299" s="10" t="str">
        <f>'CSAT-AVH'!N22</f>
        <v/>
      </c>
      <c r="E299" s="10" t="str">
        <f>'CSAT-AVH'!Q22</f>
        <v/>
      </c>
      <c r="F299" s="10" t="str">
        <f>'CSAT-AVH'!T22</f>
        <v/>
      </c>
      <c r="G299" s="10" t="str">
        <f>'CSAT-AVH'!W22</f>
        <v/>
      </c>
      <c r="H299" s="10" t="str">
        <f>'CSAT-AVH'!Z22</f>
        <v/>
      </c>
      <c r="I299" s="10" t="str">
        <f>'CSAT-AVH'!AC22</f>
        <v/>
      </c>
      <c r="J299" s="10" t="str">
        <f>'CSAT-AVH'!AF22</f>
        <v/>
      </c>
      <c r="K299" s="10" t="str">
        <f>'CSAT-AVH'!AI22</f>
        <v/>
      </c>
      <c r="L299" s="10" t="str">
        <f>'CSAT-AVH'!AL22</f>
        <v/>
      </c>
      <c r="M299" s="10" t="str">
        <f>'CSAT-AVH'!AO22</f>
        <v/>
      </c>
      <c r="N299" s="10" t="e">
        <f>'CSAT-AVH'!#REF!</f>
        <v>#REF!</v>
      </c>
      <c r="O299" s="10" t="e">
        <f>'CSAT-AVH'!#REF!</f>
        <v>#REF!</v>
      </c>
    </row>
    <row r="300" spans="1:15" x14ac:dyDescent="0.3">
      <c r="A300" s="33" t="s">
        <v>119</v>
      </c>
      <c r="B300" s="10">
        <f>'CSAT-AVH'!H21</f>
        <v>1</v>
      </c>
      <c r="C300" s="10" t="str">
        <f>'CSAT-AVH'!K21</f>
        <v/>
      </c>
      <c r="D300" s="10" t="str">
        <f>'CSAT-AVH'!N21</f>
        <v/>
      </c>
      <c r="E300" s="10" t="str">
        <f>'CSAT-AVH'!Q21</f>
        <v/>
      </c>
      <c r="F300" s="10" t="str">
        <f>'CSAT-AVH'!T21</f>
        <v/>
      </c>
      <c r="G300" s="10" t="str">
        <f>'CSAT-AVH'!W21</f>
        <v/>
      </c>
      <c r="H300" s="10" t="str">
        <f>'CSAT-AVH'!Z21</f>
        <v/>
      </c>
      <c r="I300" s="10" t="str">
        <f>'CSAT-AVH'!AC21</f>
        <v/>
      </c>
      <c r="J300" s="10" t="str">
        <f>'CSAT-AVH'!AF21</f>
        <v/>
      </c>
      <c r="K300" s="10" t="str">
        <f>'CSAT-AVH'!AI21</f>
        <v/>
      </c>
      <c r="L300" s="10" t="str">
        <f>'CSAT-AVH'!AL21</f>
        <v/>
      </c>
      <c r="M300" s="10" t="str">
        <f>'CSAT-AVH'!AO21</f>
        <v/>
      </c>
      <c r="N300" s="10" t="e">
        <f>'CSAT-AVH'!#REF!</f>
        <v>#REF!</v>
      </c>
      <c r="O300" s="10" t="e">
        <f>'CSAT-AVH'!#REF!</f>
        <v>#REF!</v>
      </c>
    </row>
    <row r="301" spans="1:15" x14ac:dyDescent="0.3">
      <c r="A301" s="33" t="s">
        <v>121</v>
      </c>
      <c r="B301" s="10">
        <f>'CSAT-AVH'!H23</f>
        <v>0</v>
      </c>
      <c r="C301" s="10" t="str">
        <f>'CSAT-AVH'!K23</f>
        <v/>
      </c>
      <c r="D301" s="10" t="str">
        <f>'CSAT-AVH'!N23</f>
        <v/>
      </c>
      <c r="E301" s="10" t="str">
        <f>'CSAT-AVH'!Q23</f>
        <v/>
      </c>
      <c r="F301" s="10" t="str">
        <f>'CSAT-AVH'!T23</f>
        <v/>
      </c>
      <c r="G301" s="10" t="str">
        <f>'CSAT-AVH'!W23</f>
        <v/>
      </c>
      <c r="H301" s="10" t="str">
        <f>'CSAT-AVH'!Z23</f>
        <v/>
      </c>
      <c r="I301" s="10" t="str">
        <f>'CSAT-AVH'!AC23</f>
        <v/>
      </c>
      <c r="J301" s="10" t="str">
        <f>'CSAT-AVH'!AF23</f>
        <v/>
      </c>
      <c r="K301" s="10" t="str">
        <f>'CSAT-AVH'!AI23</f>
        <v/>
      </c>
      <c r="L301" s="10" t="str">
        <f>'CSAT-AVH'!AL23</f>
        <v/>
      </c>
      <c r="M301" s="10" t="str">
        <f>'CSAT-AVH'!AO23</f>
        <v/>
      </c>
      <c r="N301" s="10" t="e">
        <f>'CSAT-AVH'!#REF!</f>
        <v>#REF!</v>
      </c>
      <c r="O301" s="10" t="e">
        <f>'CSAT-AVH'!#REF!</f>
        <v>#REF!</v>
      </c>
    </row>
    <row r="302" spans="1:15" x14ac:dyDescent="0.3">
      <c r="A302" s="33" t="s">
        <v>122</v>
      </c>
      <c r="B302" s="10">
        <f>'CSAT-AVH'!H24</f>
        <v>0</v>
      </c>
      <c r="C302" s="10" t="str">
        <f>'CSAT-AVH'!K24</f>
        <v/>
      </c>
      <c r="D302" s="10" t="str">
        <f>'CSAT-AVH'!N24</f>
        <v/>
      </c>
      <c r="E302" s="10" t="str">
        <f>'CSAT-AVH'!Q24</f>
        <v/>
      </c>
      <c r="F302" s="10" t="str">
        <f>'CSAT-AVH'!T24</f>
        <v/>
      </c>
      <c r="G302" s="10" t="str">
        <f>'CSAT-AVH'!W24</f>
        <v/>
      </c>
      <c r="H302" s="10" t="str">
        <f>'CSAT-AVH'!Z24</f>
        <v/>
      </c>
      <c r="I302" s="10" t="str">
        <f>'CSAT-AVH'!AC24</f>
        <v/>
      </c>
      <c r="J302" s="10" t="str">
        <f>'CSAT-AVH'!AF24</f>
        <v/>
      </c>
      <c r="K302" s="10" t="str">
        <f>'CSAT-AVH'!AI24</f>
        <v/>
      </c>
      <c r="L302" s="10" t="str">
        <f>'CSAT-AVH'!AL24</f>
        <v/>
      </c>
      <c r="M302" s="10" t="str">
        <f>'CSAT-AVH'!AO24</f>
        <v/>
      </c>
      <c r="N302" s="10" t="e">
        <f>'CSAT-AVH'!#REF!</f>
        <v>#REF!</v>
      </c>
      <c r="O302" s="10" t="e">
        <f>'CSAT-AVH'!#REF!</f>
        <v>#REF!</v>
      </c>
    </row>
    <row r="303" spans="1:15" x14ac:dyDescent="0.3">
      <c r="A303" s="33" t="s">
        <v>123</v>
      </c>
      <c r="B303" s="10">
        <f>'CSAT-AVH'!H25</f>
        <v>0</v>
      </c>
      <c r="C303" s="10" t="str">
        <f>'CSAT-AVH'!K25</f>
        <v/>
      </c>
      <c r="D303" s="10" t="str">
        <f>'CSAT-AVH'!N25</f>
        <v/>
      </c>
      <c r="E303" s="10" t="str">
        <f>'CSAT-AVH'!Q25</f>
        <v/>
      </c>
      <c r="F303" s="10" t="str">
        <f>'CSAT-AVH'!T25</f>
        <v/>
      </c>
      <c r="G303" s="10" t="str">
        <f>'CSAT-AVH'!W25</f>
        <v/>
      </c>
      <c r="H303" s="10" t="str">
        <f>'CSAT-AVH'!Z25</f>
        <v/>
      </c>
      <c r="I303" s="10" t="str">
        <f>'CSAT-AVH'!AC25</f>
        <v/>
      </c>
      <c r="J303" s="10" t="str">
        <f>'CSAT-AVH'!AF25</f>
        <v/>
      </c>
      <c r="K303" s="10" t="str">
        <f>'CSAT-AVH'!AI25</f>
        <v/>
      </c>
      <c r="L303" s="10" t="str">
        <f>'CSAT-AVH'!AL25</f>
        <v/>
      </c>
      <c r="M303" s="10" t="str">
        <f>'CSAT-AVH'!AO25</f>
        <v/>
      </c>
      <c r="N303" s="10" t="e">
        <f>'CSAT-AVH'!#REF!</f>
        <v>#REF!</v>
      </c>
      <c r="O303" s="10" t="e">
        <f>'CSAT-AVH'!#REF!</f>
        <v>#REF!</v>
      </c>
    </row>
    <row r="304" spans="1:15" ht="18" x14ac:dyDescent="0.3">
      <c r="A304" s="40" t="s">
        <v>161</v>
      </c>
    </row>
    <row r="305" spans="1:15" ht="21" x14ac:dyDescent="0.3">
      <c r="A305" s="34"/>
      <c r="B305" s="9">
        <f t="shared" ref="B305:N305" si="24">B240</f>
        <v>45748</v>
      </c>
      <c r="C305" s="9">
        <f t="shared" si="24"/>
        <v>45778</v>
      </c>
      <c r="D305" s="9">
        <f t="shared" si="24"/>
        <v>45809</v>
      </c>
      <c r="E305" s="9">
        <f t="shared" si="24"/>
        <v>45839</v>
      </c>
      <c r="F305" s="9">
        <f t="shared" si="24"/>
        <v>45870</v>
      </c>
      <c r="G305" s="9">
        <f t="shared" si="24"/>
        <v>45901</v>
      </c>
      <c r="H305" s="9">
        <f t="shared" si="24"/>
        <v>45931</v>
      </c>
      <c r="I305" s="9">
        <f t="shared" si="24"/>
        <v>45962</v>
      </c>
      <c r="J305" s="9">
        <f t="shared" si="24"/>
        <v>45992</v>
      </c>
      <c r="K305" s="9">
        <f t="shared" si="24"/>
        <v>46023</v>
      </c>
      <c r="L305" s="9">
        <f t="shared" si="24"/>
        <v>46054</v>
      </c>
      <c r="M305" s="9">
        <f t="shared" si="24"/>
        <v>46082</v>
      </c>
      <c r="N305" s="9">
        <f t="shared" si="24"/>
        <v>46113</v>
      </c>
      <c r="O305" s="9">
        <f t="shared" ref="O305" si="25">O240</f>
        <v>46143</v>
      </c>
    </row>
    <row r="306" spans="1:15" x14ac:dyDescent="0.3">
      <c r="A306" s="36" t="s">
        <v>161</v>
      </c>
      <c r="B306" s="4"/>
      <c r="C306" s="4"/>
      <c r="D306" s="4"/>
      <c r="E306" s="4"/>
      <c r="F306" s="4"/>
    </row>
    <row r="307" spans="1:15" x14ac:dyDescent="0.3">
      <c r="A307" s="33" t="s">
        <v>120</v>
      </c>
      <c r="B307" s="10">
        <f>'CSAT-AVH'!H28</f>
        <v>0</v>
      </c>
      <c r="C307" s="10" t="str">
        <f>'CSAT-AVH'!K28</f>
        <v/>
      </c>
      <c r="D307" s="10" t="str">
        <f>'CSAT-AVH'!N28</f>
        <v/>
      </c>
      <c r="E307" s="10" t="str">
        <f>'CSAT-AVH'!Q28</f>
        <v/>
      </c>
      <c r="F307" s="10" t="str">
        <f>'CSAT-AVH'!T28</f>
        <v/>
      </c>
      <c r="G307" s="10" t="str">
        <f>'CSAT-AVH'!W28</f>
        <v/>
      </c>
      <c r="H307" s="10" t="str">
        <f>'CSAT-AVH'!Z28</f>
        <v/>
      </c>
      <c r="I307" s="10" t="str">
        <f>'CSAT-AVH'!AC28</f>
        <v/>
      </c>
      <c r="J307" s="10" t="str">
        <f>'CSAT-AVH'!AF28</f>
        <v/>
      </c>
      <c r="K307" s="10" t="str">
        <f>'CSAT-AVH'!AI28</f>
        <v/>
      </c>
      <c r="L307" s="10" t="str">
        <f>'CSAT-AVH'!AL28</f>
        <v/>
      </c>
      <c r="M307" s="10" t="str">
        <f>'CSAT-AVH'!AO28</f>
        <v/>
      </c>
      <c r="N307" s="10" t="e">
        <f>'CSAT-AVH'!#REF!</f>
        <v>#REF!</v>
      </c>
      <c r="O307" s="10" t="e">
        <f>'CSAT-AVH'!#REF!</f>
        <v>#REF!</v>
      </c>
    </row>
    <row r="308" spans="1:15" x14ac:dyDescent="0.3">
      <c r="A308" s="33" t="s">
        <v>119</v>
      </c>
      <c r="B308" s="10">
        <f>'CSAT-AVH'!H27</f>
        <v>1</v>
      </c>
      <c r="C308" s="10" t="str">
        <f>'CSAT-AVH'!K27</f>
        <v/>
      </c>
      <c r="D308" s="10" t="str">
        <f>'CSAT-AVH'!N27</f>
        <v/>
      </c>
      <c r="E308" s="10" t="str">
        <f>'CSAT-AVH'!Q27</f>
        <v/>
      </c>
      <c r="F308" s="10" t="str">
        <f>'CSAT-AVH'!T27</f>
        <v/>
      </c>
      <c r="G308" s="10" t="str">
        <f>'CSAT-AVH'!W27</f>
        <v/>
      </c>
      <c r="H308" s="10" t="str">
        <f>'CSAT-AVH'!Z27</f>
        <v/>
      </c>
      <c r="I308" s="10" t="str">
        <f>'CSAT-AVH'!AC27</f>
        <v/>
      </c>
      <c r="J308" s="10" t="str">
        <f>'CSAT-AVH'!AF27</f>
        <v/>
      </c>
      <c r="K308" s="10" t="str">
        <f>'CSAT-AVH'!AI27</f>
        <v/>
      </c>
      <c r="L308" s="10" t="str">
        <f>'CSAT-AVH'!AL27</f>
        <v/>
      </c>
      <c r="M308" s="10" t="str">
        <f>'CSAT-AVH'!AO27</f>
        <v/>
      </c>
      <c r="N308" s="10" t="e">
        <f>'CSAT-AVH'!#REF!</f>
        <v>#REF!</v>
      </c>
      <c r="O308" s="10" t="e">
        <f>'CSAT-AVH'!#REF!</f>
        <v>#REF!</v>
      </c>
    </row>
    <row r="309" spans="1:15" x14ac:dyDescent="0.3">
      <c r="A309" s="33" t="s">
        <v>121</v>
      </c>
      <c r="B309" s="10">
        <f>'CSAT-AVH'!H29</f>
        <v>0</v>
      </c>
      <c r="C309" s="10" t="str">
        <f>'CSAT-AVH'!K29</f>
        <v/>
      </c>
      <c r="D309" s="10" t="str">
        <f>'CSAT-AVH'!N29</f>
        <v/>
      </c>
      <c r="E309" s="10" t="str">
        <f>'CSAT-AVH'!Q29</f>
        <v/>
      </c>
      <c r="F309" s="10" t="str">
        <f>'CSAT-AVH'!T29</f>
        <v/>
      </c>
      <c r="G309" s="10" t="str">
        <f>'CSAT-AVH'!W29</f>
        <v/>
      </c>
      <c r="H309" s="10" t="str">
        <f>'CSAT-AVH'!Z29</f>
        <v/>
      </c>
      <c r="I309" s="10" t="str">
        <f>'CSAT-AVH'!AC29</f>
        <v/>
      </c>
      <c r="J309" s="10" t="str">
        <f>'CSAT-AVH'!AF29</f>
        <v/>
      </c>
      <c r="K309" s="10" t="str">
        <f>'CSAT-AVH'!AI29</f>
        <v/>
      </c>
      <c r="L309" s="10" t="str">
        <f>'CSAT-AVH'!AL29</f>
        <v/>
      </c>
      <c r="M309" s="10" t="str">
        <f>'CSAT-AVH'!AO29</f>
        <v/>
      </c>
      <c r="N309" s="10" t="e">
        <f>'CSAT-AVH'!#REF!</f>
        <v>#REF!</v>
      </c>
      <c r="O309" s="10" t="e">
        <f>'CSAT-AVH'!#REF!</f>
        <v>#REF!</v>
      </c>
    </row>
    <row r="310" spans="1:15" x14ac:dyDescent="0.3">
      <c r="A310" s="33" t="s">
        <v>122</v>
      </c>
      <c r="B310" s="10">
        <f>'CSAT-AVH'!H30</f>
        <v>0</v>
      </c>
      <c r="C310" s="10" t="str">
        <f>'CSAT-AVH'!K30</f>
        <v/>
      </c>
      <c r="D310" s="10" t="str">
        <f>'CSAT-AVH'!N30</f>
        <v/>
      </c>
      <c r="E310" s="10" t="str">
        <f>'CSAT-AVH'!Q30</f>
        <v/>
      </c>
      <c r="F310" s="10" t="str">
        <f>'CSAT-AVH'!T30</f>
        <v/>
      </c>
      <c r="G310" s="10" t="str">
        <f>'CSAT-AVH'!W30</f>
        <v/>
      </c>
      <c r="H310" s="10" t="str">
        <f>'CSAT-AVH'!Z30</f>
        <v/>
      </c>
      <c r="I310" s="10" t="str">
        <f>'CSAT-AVH'!AC30</f>
        <v/>
      </c>
      <c r="J310" s="10" t="str">
        <f>'CSAT-AVH'!AF30</f>
        <v/>
      </c>
      <c r="K310" s="10" t="str">
        <f>'CSAT-AVH'!AI30</f>
        <v/>
      </c>
      <c r="L310" s="10" t="str">
        <f>'CSAT-AVH'!AL30</f>
        <v/>
      </c>
      <c r="M310" s="10" t="str">
        <f>'CSAT-AVH'!AO30</f>
        <v/>
      </c>
      <c r="N310" s="10" t="e">
        <f>'CSAT-AVH'!#REF!</f>
        <v>#REF!</v>
      </c>
      <c r="O310" s="10" t="e">
        <f>'CSAT-AVH'!#REF!</f>
        <v>#REF!</v>
      </c>
    </row>
    <row r="311" spans="1:15" x14ac:dyDescent="0.3">
      <c r="A311" s="33" t="s">
        <v>123</v>
      </c>
      <c r="B311" s="10">
        <f>'CSAT-AVH'!H31</f>
        <v>0</v>
      </c>
      <c r="C311" s="10" t="str">
        <f>'CSAT-AVH'!K31</f>
        <v/>
      </c>
      <c r="D311" s="10" t="str">
        <f>'CSAT-AVH'!N31</f>
        <v/>
      </c>
      <c r="E311" s="10" t="str">
        <f>'CSAT-AVH'!Q31</f>
        <v/>
      </c>
      <c r="F311" s="10" t="str">
        <f>'CSAT-AVH'!T31</f>
        <v/>
      </c>
      <c r="G311" s="10" t="str">
        <f>'CSAT-AVH'!W31</f>
        <v/>
      </c>
      <c r="H311" s="10" t="str">
        <f>'CSAT-AVH'!Z31</f>
        <v/>
      </c>
      <c r="I311" s="10" t="str">
        <f>'CSAT-AVH'!AC31</f>
        <v/>
      </c>
      <c r="J311" s="10" t="str">
        <f>'CSAT-AVH'!AF31</f>
        <v/>
      </c>
      <c r="K311" s="10" t="str">
        <f>'CSAT-AVH'!AI31</f>
        <v/>
      </c>
      <c r="L311" s="10" t="str">
        <f>'CSAT-AVH'!AL31</f>
        <v/>
      </c>
      <c r="M311" s="10" t="str">
        <f>'CSAT-AVH'!AO31</f>
        <v/>
      </c>
      <c r="N311" s="10" t="e">
        <f>'CSAT-AVH'!#REF!</f>
        <v>#REF!</v>
      </c>
      <c r="O311" s="10" t="e">
        <f>'CSAT-AVH'!#REF!</f>
        <v>#REF!</v>
      </c>
    </row>
    <row r="312" spans="1:15" ht="18" x14ac:dyDescent="0.3">
      <c r="A312" s="40" t="s">
        <v>162</v>
      </c>
    </row>
    <row r="313" spans="1:15" x14ac:dyDescent="0.3">
      <c r="A313" s="29"/>
      <c r="B313" s="9">
        <f t="shared" ref="B313:N313" si="26">B240</f>
        <v>45748</v>
      </c>
      <c r="C313" s="9">
        <f t="shared" si="26"/>
        <v>45778</v>
      </c>
      <c r="D313" s="9">
        <f t="shared" si="26"/>
        <v>45809</v>
      </c>
      <c r="E313" s="9">
        <f t="shared" si="26"/>
        <v>45839</v>
      </c>
      <c r="F313" s="9">
        <f t="shared" si="26"/>
        <v>45870</v>
      </c>
      <c r="G313" s="9">
        <f t="shared" si="26"/>
        <v>45901</v>
      </c>
      <c r="H313" s="9">
        <f t="shared" si="26"/>
        <v>45931</v>
      </c>
      <c r="I313" s="9">
        <f t="shared" si="26"/>
        <v>45962</v>
      </c>
      <c r="J313" s="9">
        <f t="shared" si="26"/>
        <v>45992</v>
      </c>
      <c r="K313" s="9">
        <f t="shared" si="26"/>
        <v>46023</v>
      </c>
      <c r="L313" s="9">
        <f t="shared" si="26"/>
        <v>46054</v>
      </c>
      <c r="M313" s="9">
        <f t="shared" si="26"/>
        <v>46082</v>
      </c>
      <c r="N313" s="9">
        <f t="shared" si="26"/>
        <v>46113</v>
      </c>
      <c r="O313" s="9">
        <f t="shared" ref="O313" si="27">O240</f>
        <v>46143</v>
      </c>
    </row>
    <row r="314" spans="1:15" x14ac:dyDescent="0.3">
      <c r="A314" s="29" t="s">
        <v>162</v>
      </c>
      <c r="B314" s="4"/>
      <c r="C314" s="4"/>
      <c r="D314" s="4"/>
      <c r="E314" s="4"/>
      <c r="F314" s="4"/>
      <c r="G314" s="4"/>
      <c r="H314" s="4"/>
      <c r="I314" s="4"/>
      <c r="J314" s="4"/>
      <c r="K314" s="4"/>
      <c r="L314" s="4"/>
      <c r="M314" s="4"/>
      <c r="N314" s="4"/>
      <c r="O314" s="4"/>
    </row>
    <row r="315" spans="1:15" x14ac:dyDescent="0.3">
      <c r="A315" s="33" t="s">
        <v>120</v>
      </c>
      <c r="B315" s="10">
        <f>'CSAT-AVH'!H34</f>
        <v>0</v>
      </c>
      <c r="C315" s="10" t="str">
        <f>'CSAT-AVH'!K34</f>
        <v/>
      </c>
      <c r="D315" s="10" t="str">
        <f>'CSAT-AVH'!N34</f>
        <v/>
      </c>
      <c r="E315" s="10" t="str">
        <f>'CSAT-AVH'!Q34</f>
        <v/>
      </c>
      <c r="F315" s="10" t="str">
        <f>'CSAT-AVH'!T34</f>
        <v/>
      </c>
      <c r="G315" s="10" t="str">
        <f>'CSAT-AVH'!W34</f>
        <v/>
      </c>
      <c r="H315" s="10" t="str">
        <f>'CSAT-AVH'!Z34</f>
        <v/>
      </c>
      <c r="I315" s="10" t="str">
        <f>'CSAT-AVH'!AC34</f>
        <v/>
      </c>
      <c r="J315" s="10" t="str">
        <f>'CSAT-AVH'!AF34</f>
        <v/>
      </c>
      <c r="K315" s="10" t="str">
        <f>'CSAT-AVH'!AI34</f>
        <v/>
      </c>
      <c r="L315" s="10" t="str">
        <f>'CSAT-AVH'!AL34</f>
        <v/>
      </c>
      <c r="M315" s="10" t="str">
        <f>'CSAT-AVH'!AO34</f>
        <v/>
      </c>
      <c r="N315" s="10" t="e">
        <f>'CSAT-AVH'!#REF!</f>
        <v>#REF!</v>
      </c>
      <c r="O315" s="10" t="e">
        <f>'CSAT-AVH'!#REF!</f>
        <v>#REF!</v>
      </c>
    </row>
    <row r="316" spans="1:15" x14ac:dyDescent="0.3">
      <c r="A316" s="33" t="s">
        <v>119</v>
      </c>
      <c r="B316" s="10">
        <f>'CSAT-AVH'!H33</f>
        <v>1</v>
      </c>
      <c r="C316" s="10" t="str">
        <f>'CSAT-AVH'!K33</f>
        <v/>
      </c>
      <c r="D316" s="10" t="str">
        <f>'CSAT-AVH'!N33</f>
        <v/>
      </c>
      <c r="E316" s="10" t="str">
        <f>'CSAT-AVH'!Q33</f>
        <v/>
      </c>
      <c r="F316" s="10" t="str">
        <f>'CSAT-AVH'!T33</f>
        <v/>
      </c>
      <c r="G316" s="10" t="str">
        <f>'CSAT-AVH'!W33</f>
        <v/>
      </c>
      <c r="H316" s="10" t="str">
        <f>'CSAT-AVH'!Z33</f>
        <v/>
      </c>
      <c r="I316" s="10" t="str">
        <f>'CSAT-AVH'!AC33</f>
        <v/>
      </c>
      <c r="J316" s="10" t="str">
        <f>'CSAT-AVH'!AF33</f>
        <v/>
      </c>
      <c r="K316" s="10" t="str">
        <f>'CSAT-AVH'!AI33</f>
        <v/>
      </c>
      <c r="L316" s="10" t="str">
        <f>'CSAT-AVH'!AL33</f>
        <v/>
      </c>
      <c r="M316" s="10" t="str">
        <f>'CSAT-AVH'!AO33</f>
        <v/>
      </c>
      <c r="N316" s="10" t="e">
        <f>'CSAT-AVH'!#REF!</f>
        <v>#REF!</v>
      </c>
      <c r="O316" s="10" t="e">
        <f>'CSAT-AVH'!#REF!</f>
        <v>#REF!</v>
      </c>
    </row>
    <row r="317" spans="1:15" x14ac:dyDescent="0.3">
      <c r="A317" s="33" t="s">
        <v>121</v>
      </c>
      <c r="B317" s="10">
        <f>'CSAT-AVH'!H35</f>
        <v>0</v>
      </c>
      <c r="C317" s="10" t="str">
        <f>'CSAT-AVH'!K35</f>
        <v/>
      </c>
      <c r="D317" s="10" t="str">
        <f>'CSAT-AVH'!N35</f>
        <v/>
      </c>
      <c r="E317" s="10" t="str">
        <f>'CSAT-AVH'!Q35</f>
        <v/>
      </c>
      <c r="F317" s="10" t="str">
        <f>'CSAT-AVH'!T35</f>
        <v/>
      </c>
      <c r="G317" s="10" t="str">
        <f>'CSAT-AVH'!W35</f>
        <v/>
      </c>
      <c r="H317" s="10" t="str">
        <f>'CSAT-AVH'!Z35</f>
        <v/>
      </c>
      <c r="I317" s="10" t="str">
        <f>'CSAT-AVH'!AC35</f>
        <v/>
      </c>
      <c r="J317" s="10" t="str">
        <f>'CSAT-AVH'!AF35</f>
        <v/>
      </c>
      <c r="K317" s="10" t="str">
        <f>'CSAT-AVH'!AI35</f>
        <v/>
      </c>
      <c r="L317" s="10" t="str">
        <f>'CSAT-AVH'!AL35</f>
        <v/>
      </c>
      <c r="M317" s="10" t="str">
        <f>'CSAT-AVH'!AO35</f>
        <v/>
      </c>
      <c r="N317" s="10" t="e">
        <f>'CSAT-AVH'!#REF!</f>
        <v>#REF!</v>
      </c>
      <c r="O317" s="10" t="e">
        <f>'CSAT-AVH'!#REF!</f>
        <v>#REF!</v>
      </c>
    </row>
    <row r="318" spans="1:15" x14ac:dyDescent="0.3">
      <c r="A318" s="33" t="s">
        <v>122</v>
      </c>
      <c r="B318" s="10">
        <f>'CSAT-AVH'!H36</f>
        <v>0</v>
      </c>
      <c r="C318" s="10" t="str">
        <f>'CSAT-AVH'!K36</f>
        <v/>
      </c>
      <c r="D318" s="10" t="str">
        <f>'CSAT-AVH'!N36</f>
        <v/>
      </c>
      <c r="E318" s="10" t="str">
        <f>'CSAT-AVH'!Q36</f>
        <v/>
      </c>
      <c r="F318" s="10" t="str">
        <f>'CSAT-AVH'!T36</f>
        <v/>
      </c>
      <c r="G318" s="10" t="str">
        <f>'CSAT-AVH'!W36</f>
        <v/>
      </c>
      <c r="H318" s="10" t="str">
        <f>'CSAT-AVH'!Z36</f>
        <v/>
      </c>
      <c r="I318" s="10" t="str">
        <f>'CSAT-AVH'!AC36</f>
        <v/>
      </c>
      <c r="J318" s="10" t="str">
        <f>'CSAT-AVH'!AF36</f>
        <v/>
      </c>
      <c r="K318" s="10" t="str">
        <f>'CSAT-AVH'!AI36</f>
        <v/>
      </c>
      <c r="L318" s="10" t="str">
        <f>'CSAT-AVH'!AL36</f>
        <v/>
      </c>
      <c r="M318" s="10" t="str">
        <f>'CSAT-AVH'!AO36</f>
        <v/>
      </c>
      <c r="N318" s="10" t="e">
        <f>'CSAT-AVH'!#REF!</f>
        <v>#REF!</v>
      </c>
      <c r="O318" s="10" t="e">
        <f>'CSAT-AVH'!#REF!</f>
        <v>#REF!</v>
      </c>
    </row>
    <row r="319" spans="1:15" x14ac:dyDescent="0.3">
      <c r="A319" s="33" t="s">
        <v>123</v>
      </c>
      <c r="B319" s="10">
        <f>'CSAT-AVH'!H37</f>
        <v>0</v>
      </c>
      <c r="C319" s="10" t="str">
        <f>'CSAT-AVH'!K37</f>
        <v/>
      </c>
      <c r="D319" s="10" t="str">
        <f>'CSAT-AVH'!N37</f>
        <v/>
      </c>
      <c r="E319" s="10" t="str">
        <f>'CSAT-AVH'!Q37</f>
        <v/>
      </c>
      <c r="F319" s="10" t="str">
        <f>'CSAT-AVH'!T37</f>
        <v/>
      </c>
      <c r="G319" s="10" t="str">
        <f>'CSAT-AVH'!W37</f>
        <v/>
      </c>
      <c r="H319" s="10" t="str">
        <f>'CSAT-AVH'!Z37</f>
        <v/>
      </c>
      <c r="I319" s="10" t="str">
        <f>'CSAT-AVH'!AC37</f>
        <v/>
      </c>
      <c r="J319" s="10" t="str">
        <f>'CSAT-AVH'!AF37</f>
        <v/>
      </c>
      <c r="K319" s="10" t="str">
        <f>'CSAT-AVH'!AI37</f>
        <v/>
      </c>
      <c r="L319" s="10" t="str">
        <f>'CSAT-AVH'!AL37</f>
        <v/>
      </c>
      <c r="M319" s="10" t="str">
        <f>'CSAT-AVH'!AO37</f>
        <v/>
      </c>
      <c r="N319" s="10" t="e">
        <f>'CSAT-AVH'!#REF!</f>
        <v>#REF!</v>
      </c>
      <c r="O319" s="10" t="e">
        <f>'CSAT-AVH'!#REF!</f>
        <v>#REF!</v>
      </c>
    </row>
    <row r="320" spans="1:15" ht="18" x14ac:dyDescent="0.3">
      <c r="A320" s="40" t="s">
        <v>163</v>
      </c>
    </row>
    <row r="321" spans="1:15" x14ac:dyDescent="0.3">
      <c r="A321" s="4"/>
      <c r="B321" s="9">
        <f t="shared" ref="B321:N321" si="28">B240</f>
        <v>45748</v>
      </c>
      <c r="C321" s="9">
        <f t="shared" si="28"/>
        <v>45778</v>
      </c>
      <c r="D321" s="9">
        <f t="shared" si="28"/>
        <v>45809</v>
      </c>
      <c r="E321" s="9">
        <f t="shared" si="28"/>
        <v>45839</v>
      </c>
      <c r="F321" s="9">
        <f t="shared" si="28"/>
        <v>45870</v>
      </c>
      <c r="G321" s="9">
        <f t="shared" si="28"/>
        <v>45901</v>
      </c>
      <c r="H321" s="9">
        <f t="shared" si="28"/>
        <v>45931</v>
      </c>
      <c r="I321" s="9">
        <f t="shared" si="28"/>
        <v>45962</v>
      </c>
      <c r="J321" s="9">
        <f t="shared" si="28"/>
        <v>45992</v>
      </c>
      <c r="K321" s="9">
        <f t="shared" si="28"/>
        <v>46023</v>
      </c>
      <c r="L321" s="9">
        <f t="shared" si="28"/>
        <v>46054</v>
      </c>
      <c r="M321" s="9">
        <f t="shared" si="28"/>
        <v>46082</v>
      </c>
      <c r="N321" s="9">
        <f t="shared" si="28"/>
        <v>46113</v>
      </c>
      <c r="O321" s="9">
        <f t="shared" ref="O321" si="29">O240</f>
        <v>46143</v>
      </c>
    </row>
    <row r="322" spans="1:15" x14ac:dyDescent="0.3">
      <c r="A322" s="29" t="s">
        <v>163</v>
      </c>
      <c r="B322" s="4"/>
      <c r="C322" s="4"/>
      <c r="D322" s="4"/>
      <c r="E322" s="4"/>
      <c r="F322" s="4"/>
    </row>
    <row r="323" spans="1:15" x14ac:dyDescent="0.3">
      <c r="A323" s="33" t="s">
        <v>120</v>
      </c>
      <c r="B323" s="10">
        <f>'CSAT-AVH'!H40</f>
        <v>0</v>
      </c>
      <c r="C323" s="10" t="str">
        <f>'CSAT-AVH'!K40</f>
        <v/>
      </c>
      <c r="D323" s="10" t="str">
        <f>'CSAT-AVH'!N40</f>
        <v/>
      </c>
      <c r="E323" s="10" t="str">
        <f>'CSAT-AVH'!Q40</f>
        <v/>
      </c>
      <c r="F323" s="10" t="str">
        <f>'CSAT-AVH'!T40</f>
        <v/>
      </c>
      <c r="G323" s="10" t="str">
        <f>'CSAT-AVH'!W40</f>
        <v/>
      </c>
      <c r="H323" s="10" t="str">
        <f>'CSAT-AVH'!Z40</f>
        <v/>
      </c>
      <c r="I323" s="10" t="str">
        <f>'CSAT-AVH'!AC40</f>
        <v/>
      </c>
      <c r="J323" s="10" t="str">
        <f>'CSAT-AVH'!AF40</f>
        <v/>
      </c>
      <c r="K323" s="10" t="str">
        <f>'CSAT-AVH'!AI40</f>
        <v/>
      </c>
      <c r="L323" s="10" t="str">
        <f>'CSAT-AVH'!AL40</f>
        <v/>
      </c>
      <c r="M323" s="10" t="str">
        <f>'CSAT-AVH'!AO40</f>
        <v/>
      </c>
      <c r="N323" s="10" t="e">
        <f>'CSAT-AVH'!#REF!</f>
        <v>#REF!</v>
      </c>
      <c r="O323" s="10" t="e">
        <f>'CSAT-AVH'!#REF!</f>
        <v>#REF!</v>
      </c>
    </row>
    <row r="324" spans="1:15" x14ac:dyDescent="0.3">
      <c r="A324" s="33" t="s">
        <v>119</v>
      </c>
      <c r="B324" s="10">
        <f>'CSAT-AVH'!H39</f>
        <v>1</v>
      </c>
      <c r="C324" s="10" t="str">
        <f>'CSAT-AVH'!K39</f>
        <v/>
      </c>
      <c r="D324" s="10" t="str">
        <f>'CSAT-AVH'!N39</f>
        <v/>
      </c>
      <c r="E324" s="10" t="str">
        <f>'CSAT-AVH'!Q39</f>
        <v/>
      </c>
      <c r="F324" s="10" t="str">
        <f>'CSAT-AVH'!T39</f>
        <v/>
      </c>
      <c r="G324" s="10" t="str">
        <f>'CSAT-AVH'!W39</f>
        <v/>
      </c>
      <c r="H324" s="10" t="str">
        <f>'CSAT-AVH'!Z39</f>
        <v/>
      </c>
      <c r="I324" s="10" t="str">
        <f>'CSAT-AVH'!AC39</f>
        <v/>
      </c>
      <c r="J324" s="10" t="str">
        <f>'CSAT-AVH'!AF39</f>
        <v/>
      </c>
      <c r="K324" s="10" t="str">
        <f>'CSAT-AVH'!AI39</f>
        <v/>
      </c>
      <c r="L324" s="10" t="str">
        <f>'CSAT-AVH'!AL39</f>
        <v/>
      </c>
      <c r="M324" s="10" t="str">
        <f>'CSAT-AVH'!AO39</f>
        <v/>
      </c>
      <c r="N324" s="10" t="e">
        <f>'CSAT-AVH'!#REF!</f>
        <v>#REF!</v>
      </c>
      <c r="O324" s="10" t="e">
        <f>'CSAT-AVH'!#REF!</f>
        <v>#REF!</v>
      </c>
    </row>
    <row r="325" spans="1:15" x14ac:dyDescent="0.3">
      <c r="A325" s="33" t="s">
        <v>121</v>
      </c>
      <c r="B325" s="10">
        <f>'CSAT-AVH'!H41</f>
        <v>0</v>
      </c>
      <c r="C325" s="10" t="str">
        <f>'CSAT-AVH'!K41</f>
        <v/>
      </c>
      <c r="D325" s="10" t="str">
        <f>'CSAT-AVH'!N41</f>
        <v/>
      </c>
      <c r="E325" s="10" t="str">
        <f>'CSAT-AVH'!Q41</f>
        <v/>
      </c>
      <c r="F325" s="10" t="str">
        <f>'CSAT-AVH'!T41</f>
        <v/>
      </c>
      <c r="G325" s="10" t="str">
        <f>'CSAT-AVH'!W41</f>
        <v/>
      </c>
      <c r="H325" s="10" t="str">
        <f>'CSAT-AVH'!Z41</f>
        <v/>
      </c>
      <c r="I325" s="10" t="str">
        <f>'CSAT-AVH'!AC41</f>
        <v/>
      </c>
      <c r="J325" s="10" t="str">
        <f>'CSAT-AVH'!AF41</f>
        <v/>
      </c>
      <c r="K325" s="10" t="str">
        <f>'CSAT-AVH'!AI41</f>
        <v/>
      </c>
      <c r="L325" s="10" t="str">
        <f>'CSAT-AVH'!AL41</f>
        <v/>
      </c>
      <c r="M325" s="10" t="str">
        <f>'CSAT-AVH'!AO41</f>
        <v/>
      </c>
      <c r="N325" s="10" t="e">
        <f>'CSAT-AVH'!#REF!</f>
        <v>#REF!</v>
      </c>
      <c r="O325" s="10" t="e">
        <f>'CSAT-AVH'!#REF!</f>
        <v>#REF!</v>
      </c>
    </row>
    <row r="326" spans="1:15" x14ac:dyDescent="0.3">
      <c r="A326" s="33" t="s">
        <v>122</v>
      </c>
      <c r="B326" s="10">
        <f>'CSAT-AVH'!H42</f>
        <v>0</v>
      </c>
      <c r="C326" s="10" t="str">
        <f>'CSAT-AVH'!K42</f>
        <v/>
      </c>
      <c r="D326" s="10" t="str">
        <f>'CSAT-AVH'!N42</f>
        <v/>
      </c>
      <c r="E326" s="10" t="str">
        <f>'CSAT-AVH'!Q42</f>
        <v/>
      </c>
      <c r="F326" s="10" t="str">
        <f>'CSAT-AVH'!T42</f>
        <v/>
      </c>
      <c r="G326" s="10" t="str">
        <f>'CSAT-AVH'!W42</f>
        <v/>
      </c>
      <c r="H326" s="10" t="str">
        <f>'CSAT-AVH'!Z42</f>
        <v/>
      </c>
      <c r="I326" s="10" t="str">
        <f>'CSAT-AVH'!AC42</f>
        <v/>
      </c>
      <c r="J326" s="10" t="str">
        <f>'CSAT-AVH'!AF42</f>
        <v/>
      </c>
      <c r="K326" s="10" t="str">
        <f>'CSAT-AVH'!AI42</f>
        <v/>
      </c>
      <c r="L326" s="10" t="str">
        <f>'CSAT-AVH'!AL42</f>
        <v/>
      </c>
      <c r="M326" s="10" t="str">
        <f>'CSAT-AVH'!AO42</f>
        <v/>
      </c>
      <c r="N326" s="10" t="e">
        <f>'CSAT-AVH'!#REF!</f>
        <v>#REF!</v>
      </c>
      <c r="O326" s="10" t="e">
        <f>'CSAT-AVH'!#REF!</f>
        <v>#REF!</v>
      </c>
    </row>
    <row r="327" spans="1:15" x14ac:dyDescent="0.3">
      <c r="A327" s="33" t="s">
        <v>123</v>
      </c>
      <c r="B327" s="10">
        <f>'CSAT-AVH'!H43</f>
        <v>0</v>
      </c>
      <c r="C327" s="10" t="str">
        <f>'CSAT-AVH'!K43</f>
        <v/>
      </c>
      <c r="D327" s="10" t="str">
        <f>'CSAT-AVH'!N43</f>
        <v/>
      </c>
      <c r="E327" s="10" t="str">
        <f>'CSAT-AVH'!Q43</f>
        <v/>
      </c>
      <c r="F327" s="10" t="str">
        <f>'CSAT-AVH'!T43</f>
        <v/>
      </c>
      <c r="G327" s="10" t="str">
        <f>'CSAT-AVH'!W43</f>
        <v/>
      </c>
      <c r="H327" s="10" t="str">
        <f>'CSAT-AVH'!Z43</f>
        <v/>
      </c>
      <c r="I327" s="10" t="str">
        <f>'CSAT-AVH'!AC43</f>
        <v/>
      </c>
      <c r="J327" s="10" t="str">
        <f>'CSAT-AVH'!AF43</f>
        <v/>
      </c>
      <c r="K327" s="10" t="str">
        <f>'CSAT-AVH'!AI43</f>
        <v/>
      </c>
      <c r="L327" s="10" t="str">
        <f>'CSAT-AVH'!AL43</f>
        <v/>
      </c>
      <c r="M327" s="10" t="str">
        <f>'CSAT-AVH'!AO43</f>
        <v/>
      </c>
      <c r="N327" s="10" t="e">
        <f>'CSAT-AVH'!#REF!</f>
        <v>#REF!</v>
      </c>
      <c r="O327" s="10" t="e">
        <f>'CSAT-AVH'!#REF!</f>
        <v>#REF!</v>
      </c>
    </row>
    <row r="328" spans="1:15" ht="18" x14ac:dyDescent="0.3">
      <c r="A328" s="40" t="s">
        <v>76</v>
      </c>
    </row>
    <row r="329" spans="1:15" x14ac:dyDescent="0.3">
      <c r="A329" s="4"/>
      <c r="B329" s="9">
        <f t="shared" ref="B329:N329" si="30">B240</f>
        <v>45748</v>
      </c>
      <c r="C329" s="9">
        <f t="shared" si="30"/>
        <v>45778</v>
      </c>
      <c r="D329" s="9">
        <f t="shared" si="30"/>
        <v>45809</v>
      </c>
      <c r="E329" s="9">
        <f t="shared" si="30"/>
        <v>45839</v>
      </c>
      <c r="F329" s="9">
        <f t="shared" si="30"/>
        <v>45870</v>
      </c>
      <c r="G329" s="9">
        <f t="shared" si="30"/>
        <v>45901</v>
      </c>
      <c r="H329" s="9">
        <f t="shared" si="30"/>
        <v>45931</v>
      </c>
      <c r="I329" s="9">
        <f t="shared" si="30"/>
        <v>45962</v>
      </c>
      <c r="J329" s="9">
        <f t="shared" si="30"/>
        <v>45992</v>
      </c>
      <c r="K329" s="9">
        <f t="shared" si="30"/>
        <v>46023</v>
      </c>
      <c r="L329" s="9">
        <f t="shared" si="30"/>
        <v>46054</v>
      </c>
      <c r="M329" s="9">
        <f t="shared" si="30"/>
        <v>46082</v>
      </c>
      <c r="N329" s="9">
        <f t="shared" si="30"/>
        <v>46113</v>
      </c>
      <c r="O329" s="9">
        <f t="shared" ref="O329" si="31">O240</f>
        <v>46143</v>
      </c>
    </row>
    <row r="330" spans="1:15" x14ac:dyDescent="0.3">
      <c r="A330" s="29" t="s">
        <v>76</v>
      </c>
      <c r="B330" s="4"/>
      <c r="C330" s="4"/>
      <c r="D330" s="4"/>
      <c r="E330" s="4"/>
      <c r="F330" s="4"/>
      <c r="G330" s="4"/>
      <c r="H330" s="4"/>
      <c r="I330" s="4"/>
      <c r="J330" s="4"/>
      <c r="K330" s="4"/>
      <c r="L330" s="4"/>
      <c r="M330" s="4"/>
      <c r="N330" s="4"/>
      <c r="O330" s="4"/>
    </row>
    <row r="331" spans="1:15" x14ac:dyDescent="0.3">
      <c r="A331" s="33" t="s">
        <v>120</v>
      </c>
      <c r="B331" s="10">
        <f>'CSAT-AVH'!H46</f>
        <v>0</v>
      </c>
      <c r="C331" s="10" t="str">
        <f>'CSAT-AVH'!K46</f>
        <v/>
      </c>
      <c r="D331" s="10" t="str">
        <f>'CSAT-AVH'!N46</f>
        <v/>
      </c>
      <c r="E331" s="10" t="str">
        <f>'CSAT-AVH'!Q46</f>
        <v/>
      </c>
      <c r="F331" s="10" t="str">
        <f>'CSAT-AVH'!T46</f>
        <v/>
      </c>
      <c r="G331" s="10" t="str">
        <f>'CSAT-AVH'!W46</f>
        <v/>
      </c>
      <c r="H331" s="10" t="str">
        <f>'CSAT-AVH'!Z46</f>
        <v/>
      </c>
      <c r="I331" s="10" t="str">
        <f>'CSAT-AVH'!AC46</f>
        <v/>
      </c>
      <c r="J331" s="10" t="str">
        <f>'CSAT-AVH'!AF46</f>
        <v/>
      </c>
      <c r="K331" s="10" t="str">
        <f>'CSAT-AVH'!AI46</f>
        <v/>
      </c>
      <c r="L331" s="10" t="str">
        <f>'CSAT-AVH'!AL46</f>
        <v/>
      </c>
      <c r="M331" s="10" t="str">
        <f>'CSAT-AVH'!AO46</f>
        <v/>
      </c>
      <c r="N331" s="10" t="e">
        <f>'CSAT-AVH'!#REF!</f>
        <v>#REF!</v>
      </c>
      <c r="O331" s="10" t="e">
        <f>'CSAT-AVH'!#REF!</f>
        <v>#REF!</v>
      </c>
    </row>
    <row r="332" spans="1:15" x14ac:dyDescent="0.3">
      <c r="A332" s="33" t="s">
        <v>119</v>
      </c>
      <c r="B332" s="10">
        <f>'CSAT-AVH'!H45</f>
        <v>1</v>
      </c>
      <c r="C332" s="10" t="str">
        <f>'CSAT-AVH'!K45</f>
        <v/>
      </c>
      <c r="D332" s="10" t="str">
        <f>'CSAT-AVH'!N45</f>
        <v/>
      </c>
      <c r="E332" s="10" t="str">
        <f>'CSAT-AVH'!Q45</f>
        <v/>
      </c>
      <c r="F332" s="10" t="str">
        <f>'CSAT-AVH'!T45</f>
        <v/>
      </c>
      <c r="G332" s="10" t="str">
        <f>'CSAT-AVH'!W45</f>
        <v/>
      </c>
      <c r="H332" s="10" t="str">
        <f>'CSAT-AVH'!Z45</f>
        <v/>
      </c>
      <c r="I332" s="10" t="str">
        <f>'CSAT-AVH'!AC45</f>
        <v/>
      </c>
      <c r="J332" s="10" t="str">
        <f>'CSAT-AVH'!AF45</f>
        <v/>
      </c>
      <c r="K332" s="10" t="str">
        <f>'CSAT-AVH'!AI45</f>
        <v/>
      </c>
      <c r="L332" s="10" t="str">
        <f>'CSAT-AVH'!AL45</f>
        <v/>
      </c>
      <c r="M332" s="10" t="str">
        <f>'CSAT-AVH'!AO45</f>
        <v/>
      </c>
      <c r="N332" s="10" t="e">
        <f>'CSAT-AVH'!#REF!</f>
        <v>#REF!</v>
      </c>
      <c r="O332" s="10" t="e">
        <f>'CSAT-AVH'!#REF!</f>
        <v>#REF!</v>
      </c>
    </row>
    <row r="333" spans="1:15" x14ac:dyDescent="0.3">
      <c r="A333" s="33" t="s">
        <v>121</v>
      </c>
      <c r="B333" s="10">
        <f>'CSAT-AVH'!H47</f>
        <v>0</v>
      </c>
      <c r="C333" s="10" t="str">
        <f>'CSAT-AVH'!K47</f>
        <v/>
      </c>
      <c r="D333" s="10" t="str">
        <f>'CSAT-AVH'!N47</f>
        <v/>
      </c>
      <c r="E333" s="10" t="str">
        <f>'CSAT-AVH'!Q47</f>
        <v/>
      </c>
      <c r="F333" s="10" t="str">
        <f>'CSAT-AVH'!T47</f>
        <v/>
      </c>
      <c r="G333" s="10" t="str">
        <f>'CSAT-AVH'!W47</f>
        <v/>
      </c>
      <c r="H333" s="10" t="str">
        <f>'CSAT-AVH'!Z47</f>
        <v/>
      </c>
      <c r="I333" s="10" t="str">
        <f>'CSAT-AVH'!AC47</f>
        <v/>
      </c>
      <c r="J333" s="10" t="str">
        <f>'CSAT-AVH'!AF47</f>
        <v/>
      </c>
      <c r="K333" s="10" t="str">
        <f>'CSAT-AVH'!AI47</f>
        <v/>
      </c>
      <c r="L333" s="10" t="str">
        <f>'CSAT-AVH'!AL47</f>
        <v/>
      </c>
      <c r="M333" s="10" t="str">
        <f>'CSAT-AVH'!AO47</f>
        <v/>
      </c>
      <c r="N333" s="10" t="e">
        <f>'CSAT-AVH'!#REF!</f>
        <v>#REF!</v>
      </c>
      <c r="O333" s="10" t="e">
        <f>'CSAT-AVH'!#REF!</f>
        <v>#REF!</v>
      </c>
    </row>
    <row r="334" spans="1:15" x14ac:dyDescent="0.3">
      <c r="A334" s="33" t="s">
        <v>122</v>
      </c>
      <c r="B334" s="10">
        <f>'CSAT-AVH'!H48</f>
        <v>0</v>
      </c>
      <c r="C334" s="10" t="str">
        <f>'CSAT-AVH'!K48</f>
        <v/>
      </c>
      <c r="D334" s="10" t="str">
        <f>'CSAT-AVH'!N48</f>
        <v/>
      </c>
      <c r="E334" s="10" t="str">
        <f>'CSAT-AVH'!Q48</f>
        <v/>
      </c>
      <c r="F334" s="10" t="str">
        <f>'CSAT-AVH'!T48</f>
        <v/>
      </c>
      <c r="G334" s="10" t="str">
        <f>'CSAT-AVH'!W48</f>
        <v/>
      </c>
      <c r="H334" s="10" t="str">
        <f>'CSAT-AVH'!Z48</f>
        <v/>
      </c>
      <c r="I334" s="10" t="str">
        <f>'CSAT-AVH'!AC48</f>
        <v/>
      </c>
      <c r="J334" s="10" t="str">
        <f>'CSAT-AVH'!AF48</f>
        <v/>
      </c>
      <c r="K334" s="10" t="str">
        <f>'CSAT-AVH'!AI48</f>
        <v/>
      </c>
      <c r="L334" s="10" t="str">
        <f>'CSAT-AVH'!AL48</f>
        <v/>
      </c>
      <c r="M334" s="10" t="str">
        <f>'CSAT-AVH'!AO48</f>
        <v/>
      </c>
      <c r="N334" s="10" t="e">
        <f>'CSAT-AVH'!#REF!</f>
        <v>#REF!</v>
      </c>
      <c r="O334" s="10" t="e">
        <f>'CSAT-AVH'!#REF!</f>
        <v>#REF!</v>
      </c>
    </row>
    <row r="335" spans="1:15" x14ac:dyDescent="0.3">
      <c r="A335" s="33" t="s">
        <v>123</v>
      </c>
      <c r="B335" s="10">
        <f>'CSAT-AVH'!H49</f>
        <v>0</v>
      </c>
      <c r="C335" s="10" t="str">
        <f>'CSAT-AVH'!K49</f>
        <v/>
      </c>
      <c r="D335" s="10" t="str">
        <f>'CSAT-AVH'!N49</f>
        <v/>
      </c>
      <c r="E335" s="10" t="str">
        <f>'CSAT-AVH'!Q49</f>
        <v/>
      </c>
      <c r="F335" s="10" t="str">
        <f>'CSAT-AVH'!T49</f>
        <v/>
      </c>
      <c r="G335" s="10" t="str">
        <f>'CSAT-AVH'!W49</f>
        <v/>
      </c>
      <c r="H335" s="10" t="str">
        <f>'CSAT-AVH'!Z49</f>
        <v/>
      </c>
      <c r="I335" s="10" t="str">
        <f>'CSAT-AVH'!AC49</f>
        <v/>
      </c>
      <c r="J335" s="10" t="str">
        <f>'CSAT-AVH'!AF49</f>
        <v/>
      </c>
      <c r="K335" s="10" t="str">
        <f>'CSAT-AVH'!AI49</f>
        <v/>
      </c>
      <c r="L335" s="10" t="str">
        <f>'CSAT-AVH'!AL49</f>
        <v/>
      </c>
      <c r="M335" s="10" t="str">
        <f>'CSAT-AVH'!AO49</f>
        <v/>
      </c>
      <c r="N335" s="10" t="e">
        <f>'CSAT-AVH'!#REF!</f>
        <v>#REF!</v>
      </c>
      <c r="O335" s="10" t="e">
        <f>'CSAT-AVH'!#REF!</f>
        <v>#REF!</v>
      </c>
    </row>
    <row r="336" spans="1:15" ht="18" x14ac:dyDescent="0.3">
      <c r="A336" s="40" t="s">
        <v>77</v>
      </c>
    </row>
    <row r="337" spans="1:15" x14ac:dyDescent="0.3">
      <c r="A337" s="4"/>
      <c r="B337" s="9">
        <f t="shared" ref="B337:N337" si="32">B240</f>
        <v>45748</v>
      </c>
      <c r="C337" s="9">
        <f t="shared" si="32"/>
        <v>45778</v>
      </c>
      <c r="D337" s="9">
        <f t="shared" si="32"/>
        <v>45809</v>
      </c>
      <c r="E337" s="9">
        <f t="shared" si="32"/>
        <v>45839</v>
      </c>
      <c r="F337" s="9">
        <f t="shared" si="32"/>
        <v>45870</v>
      </c>
      <c r="G337" s="9">
        <f t="shared" si="32"/>
        <v>45901</v>
      </c>
      <c r="H337" s="9">
        <f t="shared" si="32"/>
        <v>45931</v>
      </c>
      <c r="I337" s="9">
        <f t="shared" si="32"/>
        <v>45962</v>
      </c>
      <c r="J337" s="9">
        <f t="shared" si="32"/>
        <v>45992</v>
      </c>
      <c r="K337" s="9">
        <f t="shared" si="32"/>
        <v>46023</v>
      </c>
      <c r="L337" s="9">
        <f t="shared" si="32"/>
        <v>46054</v>
      </c>
      <c r="M337" s="9">
        <f t="shared" si="32"/>
        <v>46082</v>
      </c>
      <c r="N337" s="9">
        <f t="shared" si="32"/>
        <v>46113</v>
      </c>
      <c r="O337" s="9">
        <f t="shared" ref="O337" si="33">O240</f>
        <v>46143</v>
      </c>
    </row>
    <row r="338" spans="1:15" x14ac:dyDescent="0.3">
      <c r="A338" s="29" t="s">
        <v>165</v>
      </c>
      <c r="B338" s="4"/>
      <c r="C338" s="4"/>
      <c r="D338" s="4"/>
      <c r="E338" s="4"/>
      <c r="F338" s="4"/>
      <c r="G338" s="4"/>
      <c r="H338" s="4"/>
      <c r="I338" s="4"/>
      <c r="J338" s="4"/>
      <c r="K338" s="4"/>
      <c r="L338" s="4"/>
      <c r="M338" s="4"/>
      <c r="N338" s="4"/>
      <c r="O338" s="4"/>
    </row>
    <row r="339" spans="1:15" x14ac:dyDescent="0.3">
      <c r="A339" s="33" t="s">
        <v>120</v>
      </c>
      <c r="B339" s="10">
        <f>'CSAT-AVH'!H52</f>
        <v>0</v>
      </c>
      <c r="C339" s="10" t="str">
        <f>'CSAT-AVH'!K52</f>
        <v/>
      </c>
      <c r="D339" s="10" t="str">
        <f>'CSAT-AVH'!N52</f>
        <v/>
      </c>
      <c r="E339" s="10" t="str">
        <f>'CSAT-AVH'!Q52</f>
        <v/>
      </c>
      <c r="F339" s="10" t="str">
        <f>'CSAT-AVH'!T52</f>
        <v/>
      </c>
      <c r="G339" s="10" t="str">
        <f>'CSAT-AVH'!W52</f>
        <v/>
      </c>
      <c r="H339" s="10" t="str">
        <f>'CSAT-AVH'!Z52</f>
        <v/>
      </c>
      <c r="I339" s="10" t="str">
        <f>'CSAT-AVH'!AC52</f>
        <v/>
      </c>
      <c r="J339" s="10" t="str">
        <f>'CSAT-AVH'!AF52</f>
        <v/>
      </c>
      <c r="K339" s="10" t="str">
        <f>'CSAT-AVH'!AI52</f>
        <v/>
      </c>
      <c r="L339" s="10" t="str">
        <f>'CSAT-AVH'!AL52</f>
        <v/>
      </c>
      <c r="M339" s="10" t="str">
        <f>'CSAT-AVH'!AO52</f>
        <v/>
      </c>
      <c r="N339" s="10" t="e">
        <f>'CSAT-AVH'!#REF!</f>
        <v>#REF!</v>
      </c>
      <c r="O339" s="10" t="e">
        <f>'CSAT-AVH'!#REF!</f>
        <v>#REF!</v>
      </c>
    </row>
    <row r="340" spans="1:15" x14ac:dyDescent="0.3">
      <c r="A340" s="33" t="s">
        <v>119</v>
      </c>
      <c r="B340" s="10">
        <f>'CSAT-AVH'!H51</f>
        <v>1</v>
      </c>
      <c r="C340" s="10" t="str">
        <f>'CSAT-AVH'!K51</f>
        <v/>
      </c>
      <c r="D340" s="10" t="str">
        <f>'CSAT-AVH'!N51</f>
        <v/>
      </c>
      <c r="E340" s="10" t="str">
        <f>'CSAT-AVH'!Q51</f>
        <v/>
      </c>
      <c r="F340" s="10" t="str">
        <f>'CSAT-AVH'!T51</f>
        <v/>
      </c>
      <c r="G340" s="10" t="str">
        <f>'CSAT-AVH'!W51</f>
        <v/>
      </c>
      <c r="H340" s="10" t="str">
        <f>'CSAT-AVH'!Z51</f>
        <v/>
      </c>
      <c r="I340" s="10" t="str">
        <f>'CSAT-AVH'!AC51</f>
        <v/>
      </c>
      <c r="J340" s="10" t="str">
        <f>'CSAT-AVH'!AF51</f>
        <v/>
      </c>
      <c r="K340" s="10" t="str">
        <f>'CSAT-AVH'!AI51</f>
        <v/>
      </c>
      <c r="L340" s="10" t="str">
        <f>'CSAT-AVH'!AL51</f>
        <v/>
      </c>
      <c r="M340" s="10" t="str">
        <f>'CSAT-AVH'!AO51</f>
        <v/>
      </c>
      <c r="N340" s="10" t="e">
        <f>'CSAT-AVH'!#REF!</f>
        <v>#REF!</v>
      </c>
      <c r="O340" s="10" t="e">
        <f>'CSAT-AVH'!#REF!</f>
        <v>#REF!</v>
      </c>
    </row>
    <row r="341" spans="1:15" x14ac:dyDescent="0.3">
      <c r="A341" s="33" t="s">
        <v>121</v>
      </c>
      <c r="B341" s="10">
        <f>'CSAT-AVH'!H53</f>
        <v>0</v>
      </c>
      <c r="C341" s="10" t="str">
        <f>'CSAT-AVH'!K53</f>
        <v/>
      </c>
      <c r="D341" s="10" t="str">
        <f>'CSAT-AVH'!N53</f>
        <v/>
      </c>
      <c r="E341" s="10" t="str">
        <f>'CSAT-AVH'!Q53</f>
        <v/>
      </c>
      <c r="F341" s="10" t="str">
        <f>'CSAT-AVH'!T53</f>
        <v/>
      </c>
      <c r="G341" s="10" t="str">
        <f>'CSAT-AVH'!W53</f>
        <v/>
      </c>
      <c r="H341" s="10" t="str">
        <f>'CSAT-AVH'!Z53</f>
        <v/>
      </c>
      <c r="I341" s="10" t="str">
        <f>'CSAT-AVH'!AC53</f>
        <v/>
      </c>
      <c r="J341" s="10" t="str">
        <f>'CSAT-AVH'!AF53</f>
        <v/>
      </c>
      <c r="K341" s="10" t="str">
        <f>'CSAT-AVH'!AI53</f>
        <v/>
      </c>
      <c r="L341" s="10" t="str">
        <f>'CSAT-AVH'!AL53</f>
        <v/>
      </c>
      <c r="M341" s="10" t="str">
        <f>'CSAT-AVH'!AO53</f>
        <v/>
      </c>
      <c r="N341" s="10" t="e">
        <f>'CSAT-AVH'!#REF!</f>
        <v>#REF!</v>
      </c>
      <c r="O341" s="10" t="e">
        <f>'CSAT-AVH'!#REF!</f>
        <v>#REF!</v>
      </c>
    </row>
    <row r="342" spans="1:15" x14ac:dyDescent="0.3">
      <c r="A342" s="33" t="s">
        <v>122</v>
      </c>
      <c r="B342" s="10">
        <f>'CSAT-AVH'!H54</f>
        <v>0</v>
      </c>
      <c r="C342" s="10" t="str">
        <f>'CSAT-AVH'!K54</f>
        <v/>
      </c>
      <c r="D342" s="10" t="str">
        <f>'CSAT-AVH'!N54</f>
        <v/>
      </c>
      <c r="E342" s="10" t="str">
        <f>'CSAT-AVH'!Q54</f>
        <v/>
      </c>
      <c r="F342" s="10" t="str">
        <f>'CSAT-AVH'!T54</f>
        <v/>
      </c>
      <c r="G342" s="10" t="str">
        <f>'CSAT-AVH'!W54</f>
        <v/>
      </c>
      <c r="H342" s="10" t="str">
        <f>'CSAT-AVH'!Z54</f>
        <v/>
      </c>
      <c r="I342" s="10" t="str">
        <f>'CSAT-AVH'!AC54</f>
        <v/>
      </c>
      <c r="J342" s="10" t="str">
        <f>'CSAT-AVH'!AF54</f>
        <v/>
      </c>
      <c r="K342" s="10" t="str">
        <f>'CSAT-AVH'!AI54</f>
        <v/>
      </c>
      <c r="L342" s="10" t="str">
        <f>'CSAT-AVH'!AL54</f>
        <v/>
      </c>
      <c r="M342" s="10" t="str">
        <f>'CSAT-AVH'!AO54</f>
        <v/>
      </c>
      <c r="N342" s="10" t="e">
        <f>'CSAT-AVH'!#REF!</f>
        <v>#REF!</v>
      </c>
      <c r="O342" s="10" t="e">
        <f>'CSAT-AVH'!#REF!</f>
        <v>#REF!</v>
      </c>
    </row>
    <row r="343" spans="1:15" x14ac:dyDescent="0.3">
      <c r="A343" s="33" t="s">
        <v>123</v>
      </c>
      <c r="B343" s="10">
        <f>'CSAT-AVH'!H55</f>
        <v>0</v>
      </c>
      <c r="C343" s="10" t="str">
        <f>'CSAT-AVH'!K55</f>
        <v/>
      </c>
      <c r="D343" s="10" t="str">
        <f>'CSAT-AVH'!N55</f>
        <v/>
      </c>
      <c r="E343" s="10" t="str">
        <f>'CSAT-AVH'!Q55</f>
        <v/>
      </c>
      <c r="F343" s="10" t="str">
        <f>'CSAT-AVH'!T55</f>
        <v/>
      </c>
      <c r="G343" s="10" t="str">
        <f>'CSAT-AVH'!W55</f>
        <v/>
      </c>
      <c r="H343" s="10" t="str">
        <f>'CSAT-AVH'!Z55</f>
        <v/>
      </c>
      <c r="I343" s="10" t="str">
        <f>'CSAT-AVH'!AC55</f>
        <v/>
      </c>
      <c r="J343" s="10" t="str">
        <f>'CSAT-AVH'!AF55</f>
        <v/>
      </c>
      <c r="K343" s="10" t="str">
        <f>'CSAT-AVH'!AI55</f>
        <v/>
      </c>
      <c r="L343" s="10" t="str">
        <f>'CSAT-AVH'!AL55</f>
        <v/>
      </c>
      <c r="M343" s="10" t="str">
        <f>'CSAT-AVH'!AO55</f>
        <v/>
      </c>
      <c r="N343" s="10" t="e">
        <f>'CSAT-AVH'!#REF!</f>
        <v>#REF!</v>
      </c>
      <c r="O343" s="10" t="e">
        <f>'CSAT-AVH'!#REF!</f>
        <v>#REF!</v>
      </c>
    </row>
    <row r="344" spans="1:15" ht="18" x14ac:dyDescent="0.3">
      <c r="A344" s="40" t="s">
        <v>79</v>
      </c>
      <c r="B344" s="4"/>
      <c r="C344" s="4"/>
      <c r="D344" s="4"/>
      <c r="E344" s="4"/>
    </row>
    <row r="345" spans="1:15" x14ac:dyDescent="0.3">
      <c r="A345" s="4"/>
      <c r="B345" s="9">
        <f t="shared" ref="B345:N345" si="34">B240</f>
        <v>45748</v>
      </c>
      <c r="C345" s="9">
        <f t="shared" si="34"/>
        <v>45778</v>
      </c>
      <c r="D345" s="9">
        <f t="shared" si="34"/>
        <v>45809</v>
      </c>
      <c r="E345" s="9">
        <f t="shared" si="34"/>
        <v>45839</v>
      </c>
      <c r="F345" s="9">
        <f t="shared" si="34"/>
        <v>45870</v>
      </c>
      <c r="G345" s="9">
        <f t="shared" si="34"/>
        <v>45901</v>
      </c>
      <c r="H345" s="9">
        <f t="shared" si="34"/>
        <v>45931</v>
      </c>
      <c r="I345" s="9">
        <f t="shared" si="34"/>
        <v>45962</v>
      </c>
      <c r="J345" s="9">
        <f t="shared" si="34"/>
        <v>45992</v>
      </c>
      <c r="K345" s="9">
        <f t="shared" si="34"/>
        <v>46023</v>
      </c>
      <c r="L345" s="9">
        <f t="shared" si="34"/>
        <v>46054</v>
      </c>
      <c r="M345" s="9">
        <f t="shared" si="34"/>
        <v>46082</v>
      </c>
      <c r="N345" s="9">
        <f t="shared" si="34"/>
        <v>46113</v>
      </c>
      <c r="O345" s="9">
        <f t="shared" ref="O345" si="35">O240</f>
        <v>46143</v>
      </c>
    </row>
    <row r="346" spans="1:15" ht="27.6" x14ac:dyDescent="0.3">
      <c r="A346" s="22" t="s">
        <v>79</v>
      </c>
      <c r="B346" s="4"/>
      <c r="C346" s="4"/>
      <c r="D346" s="4"/>
      <c r="E346" s="4"/>
      <c r="F346" s="4"/>
    </row>
    <row r="347" spans="1:15" x14ac:dyDescent="0.3">
      <c r="A347" s="33" t="s">
        <v>120</v>
      </c>
      <c r="B347" s="10" t="str">
        <f>'CSAT-AVH'!H64</f>
        <v/>
      </c>
      <c r="C347" s="10" t="str">
        <f>'CSAT-AVH'!K64</f>
        <v/>
      </c>
      <c r="D347" s="10" t="str">
        <f>'CSAT-AVH'!N64</f>
        <v/>
      </c>
      <c r="E347" s="10" t="str">
        <f>'CSAT-AVH'!Q64</f>
        <v/>
      </c>
      <c r="F347" s="10" t="str">
        <f>'CSAT-AVH'!T64</f>
        <v/>
      </c>
      <c r="G347" s="10" t="str">
        <f>'CSAT-AVH'!W64</f>
        <v/>
      </c>
      <c r="H347" s="10" t="str">
        <f>'CSAT-AVH'!Z64</f>
        <v/>
      </c>
      <c r="I347" s="10" t="str">
        <f>'CSAT-AVH'!AC64</f>
        <v/>
      </c>
      <c r="J347" s="10">
        <f>'CSAT-AVH'!AF64</f>
        <v>1</v>
      </c>
      <c r="K347" s="10" t="str">
        <f>'CSAT-AVH'!AI64</f>
        <v/>
      </c>
      <c r="L347" s="10" t="str">
        <f>'CSAT-AVH'!AL64</f>
        <v/>
      </c>
      <c r="M347" s="10" t="str">
        <f>'CSAT-AVH'!AO64</f>
        <v/>
      </c>
      <c r="N347" s="10" t="e">
        <f>'CSAT-AVH'!#REF!</f>
        <v>#REF!</v>
      </c>
      <c r="O347" s="10" t="e">
        <f>'CSAT-AVH'!#REF!</f>
        <v>#REF!</v>
      </c>
    </row>
    <row r="348" spans="1:15" x14ac:dyDescent="0.3">
      <c r="A348" s="33" t="s">
        <v>119</v>
      </c>
      <c r="B348" s="10" t="str">
        <f>'CSAT-AVH'!H63</f>
        <v/>
      </c>
      <c r="C348" s="10" t="str">
        <f>'CSAT-AVH'!K63</f>
        <v/>
      </c>
      <c r="D348" s="10" t="str">
        <f>'CSAT-AVH'!N63</f>
        <v/>
      </c>
      <c r="E348" s="10" t="str">
        <f>'CSAT-AVH'!Q63</f>
        <v/>
      </c>
      <c r="F348" s="10" t="str">
        <f>'CSAT-AVH'!T63</f>
        <v/>
      </c>
      <c r="G348" s="10" t="str">
        <f>'CSAT-AVH'!W63</f>
        <v/>
      </c>
      <c r="H348" s="10" t="str">
        <f>'CSAT-AVH'!Z63</f>
        <v/>
      </c>
      <c r="I348" s="10" t="str">
        <f>'CSAT-AVH'!AC63</f>
        <v/>
      </c>
      <c r="J348" s="10">
        <f>'CSAT-AVH'!AF63</f>
        <v>0</v>
      </c>
      <c r="K348" s="10" t="str">
        <f>'CSAT-AVH'!AI63</f>
        <v/>
      </c>
      <c r="L348" s="10" t="str">
        <f>'CSAT-AVH'!AL63</f>
        <v/>
      </c>
      <c r="M348" s="10" t="str">
        <f>'CSAT-AVH'!AO63</f>
        <v/>
      </c>
      <c r="N348" s="10" t="e">
        <f>'CSAT-AVH'!#REF!</f>
        <v>#REF!</v>
      </c>
      <c r="O348" s="10" t="e">
        <f>'CSAT-AVH'!#REF!</f>
        <v>#REF!</v>
      </c>
    </row>
    <row r="349" spans="1:15" x14ac:dyDescent="0.3">
      <c r="A349" s="33" t="s">
        <v>121</v>
      </c>
      <c r="B349" s="10" t="str">
        <f>'CSAT-AVH'!H65</f>
        <v/>
      </c>
      <c r="C349" s="10" t="str">
        <f>'CSAT-AVH'!K65</f>
        <v/>
      </c>
      <c r="D349" s="10" t="str">
        <f>'CSAT-AVH'!N65</f>
        <v/>
      </c>
      <c r="E349" s="10" t="str">
        <f>'CSAT-AVH'!Q65</f>
        <v/>
      </c>
      <c r="F349" s="10" t="str">
        <f>'CSAT-AVH'!T65</f>
        <v/>
      </c>
      <c r="G349" s="10" t="str">
        <f>'CSAT-AVH'!W65</f>
        <v/>
      </c>
      <c r="H349" s="10" t="str">
        <f>'CSAT-AVH'!Z65</f>
        <v/>
      </c>
      <c r="I349" s="10" t="str">
        <f>'CSAT-AVH'!AC65</f>
        <v/>
      </c>
      <c r="J349" s="10">
        <f>'CSAT-AVH'!AF65</f>
        <v>0</v>
      </c>
      <c r="K349" s="10" t="str">
        <f>'CSAT-AVH'!AI65</f>
        <v/>
      </c>
      <c r="L349" s="10" t="str">
        <f>'CSAT-AVH'!AL65</f>
        <v/>
      </c>
      <c r="M349" s="10" t="str">
        <f>'CSAT-AVH'!AO65</f>
        <v/>
      </c>
      <c r="N349" s="10" t="e">
        <f>'CSAT-AVH'!#REF!</f>
        <v>#REF!</v>
      </c>
      <c r="O349" s="10" t="e">
        <f>'CSAT-AVH'!#REF!</f>
        <v>#REF!</v>
      </c>
    </row>
    <row r="350" spans="1:15" x14ac:dyDescent="0.3">
      <c r="A350" s="33" t="s">
        <v>122</v>
      </c>
      <c r="B350" s="10" t="str">
        <f>'CSAT-AVH'!H66</f>
        <v/>
      </c>
      <c r="C350" s="10" t="str">
        <f>'CSAT-AVH'!K66</f>
        <v/>
      </c>
      <c r="D350" s="10" t="str">
        <f>'CSAT-AVH'!N66</f>
        <v/>
      </c>
      <c r="E350" s="10" t="str">
        <f>'CSAT-AVH'!Q66</f>
        <v/>
      </c>
      <c r="F350" s="10" t="str">
        <f>'CSAT-AVH'!T66</f>
        <v/>
      </c>
      <c r="G350" s="10" t="str">
        <f>'CSAT-AVH'!W66</f>
        <v/>
      </c>
      <c r="H350" s="10" t="str">
        <f>'CSAT-AVH'!Z66</f>
        <v/>
      </c>
      <c r="I350" s="10" t="str">
        <f>'CSAT-AVH'!AC66</f>
        <v/>
      </c>
      <c r="J350" s="10">
        <f>'CSAT-AVH'!AF66</f>
        <v>0</v>
      </c>
      <c r="K350" s="10" t="str">
        <f>'CSAT-AVH'!AI66</f>
        <v/>
      </c>
      <c r="L350" s="10" t="str">
        <f>'CSAT-AVH'!AL66</f>
        <v/>
      </c>
      <c r="M350" s="10" t="str">
        <f>'CSAT-AVH'!AO66</f>
        <v/>
      </c>
      <c r="N350" s="10" t="e">
        <f>'CSAT-AVH'!#REF!</f>
        <v>#REF!</v>
      </c>
      <c r="O350" s="10" t="e">
        <f>'CSAT-AVH'!#REF!</f>
        <v>#REF!</v>
      </c>
    </row>
    <row r="351" spans="1:15" x14ac:dyDescent="0.3">
      <c r="A351" s="33" t="s">
        <v>123</v>
      </c>
      <c r="B351" s="10" t="str">
        <f>'CSAT-AVH'!H67</f>
        <v/>
      </c>
      <c r="C351" s="10" t="str">
        <f>'CSAT-AVH'!K67</f>
        <v/>
      </c>
      <c r="D351" s="10" t="str">
        <f>'CSAT-AVH'!N67</f>
        <v/>
      </c>
      <c r="E351" s="10" t="str">
        <f>'CSAT-AVH'!Q67</f>
        <v/>
      </c>
      <c r="F351" s="10" t="str">
        <f>'CSAT-AVH'!T67</f>
        <v/>
      </c>
      <c r="G351" s="10" t="str">
        <f>'CSAT-AVH'!W67</f>
        <v/>
      </c>
      <c r="H351" s="10" t="str">
        <f>'CSAT-AVH'!Z67</f>
        <v/>
      </c>
      <c r="I351" s="10" t="str">
        <f>'CSAT-AVH'!AC67</f>
        <v/>
      </c>
      <c r="J351" s="10">
        <f>'CSAT-AVH'!AF67</f>
        <v>0</v>
      </c>
      <c r="K351" s="10" t="str">
        <f>'CSAT-AVH'!AI67</f>
        <v/>
      </c>
      <c r="L351" s="10" t="str">
        <f>'CSAT-AVH'!AL67</f>
        <v/>
      </c>
      <c r="M351" s="10" t="str">
        <f>'CSAT-AVH'!AO67</f>
        <v/>
      </c>
      <c r="N351" s="10" t="e">
        <f>'CSAT-AVH'!#REF!</f>
        <v>#REF!</v>
      </c>
      <c r="O351" s="10" t="e">
        <f>'CSAT-AVH'!#REF!</f>
        <v>#REF!</v>
      </c>
    </row>
    <row r="352" spans="1:15" ht="18" x14ac:dyDescent="0.3">
      <c r="A352" s="41" t="s">
        <v>80</v>
      </c>
      <c r="B352" s="4"/>
      <c r="C352" s="4"/>
      <c r="D352" s="4"/>
      <c r="E352" s="4"/>
      <c r="F352" s="4"/>
      <c r="G352" s="4"/>
      <c r="H352" s="4"/>
      <c r="I352" s="4"/>
      <c r="J352" s="4"/>
      <c r="K352" s="4"/>
      <c r="L352" s="4"/>
      <c r="M352" s="4"/>
    </row>
    <row r="353" spans="1:15" x14ac:dyDescent="0.3">
      <c r="A353" s="4"/>
      <c r="B353" s="9">
        <f t="shared" ref="B353:N353" si="36">B240</f>
        <v>45748</v>
      </c>
      <c r="C353" s="9">
        <f t="shared" si="36"/>
        <v>45778</v>
      </c>
      <c r="D353" s="9">
        <f t="shared" si="36"/>
        <v>45809</v>
      </c>
      <c r="E353" s="9">
        <f t="shared" si="36"/>
        <v>45839</v>
      </c>
      <c r="F353" s="9">
        <f t="shared" si="36"/>
        <v>45870</v>
      </c>
      <c r="G353" s="9">
        <f t="shared" si="36"/>
        <v>45901</v>
      </c>
      <c r="H353" s="9">
        <f t="shared" si="36"/>
        <v>45931</v>
      </c>
      <c r="I353" s="9">
        <f t="shared" si="36"/>
        <v>45962</v>
      </c>
      <c r="J353" s="9">
        <f t="shared" si="36"/>
        <v>45992</v>
      </c>
      <c r="K353" s="9">
        <f t="shared" si="36"/>
        <v>46023</v>
      </c>
      <c r="L353" s="9">
        <f t="shared" si="36"/>
        <v>46054</v>
      </c>
      <c r="M353" s="9">
        <f t="shared" si="36"/>
        <v>46082</v>
      </c>
      <c r="N353" s="9">
        <f t="shared" si="36"/>
        <v>46113</v>
      </c>
      <c r="O353" s="9">
        <f t="shared" ref="O353" si="37">O240</f>
        <v>46143</v>
      </c>
    </row>
    <row r="354" spans="1:15" ht="27.6" x14ac:dyDescent="0.3">
      <c r="A354" s="22" t="s">
        <v>80</v>
      </c>
      <c r="B354" s="4"/>
      <c r="C354" s="4"/>
      <c r="D354" s="4"/>
      <c r="E354" s="4"/>
      <c r="F354" s="4"/>
    </row>
    <row r="355" spans="1:15" x14ac:dyDescent="0.3">
      <c r="A355" s="33" t="s">
        <v>120</v>
      </c>
      <c r="B355" s="10" t="str">
        <f>'CSAT-AVH'!H70</f>
        <v/>
      </c>
      <c r="C355" s="10" t="str">
        <f>'CSAT-AVH'!K70</f>
        <v/>
      </c>
      <c r="D355" s="10" t="str">
        <f>'CSAT-AVH'!N70</f>
        <v/>
      </c>
      <c r="E355" s="10" t="str">
        <f>'CSAT-AVH'!Q70</f>
        <v/>
      </c>
      <c r="F355" s="10" t="str">
        <f>'CSAT-AVH'!T70</f>
        <v/>
      </c>
      <c r="G355" s="10" t="str">
        <f>'CSAT-AVH'!W70</f>
        <v/>
      </c>
      <c r="H355" s="10" t="str">
        <f>'CSAT-AVH'!Z70</f>
        <v/>
      </c>
      <c r="I355" s="10" t="str">
        <f>'CSAT-AVH'!AC70</f>
        <v/>
      </c>
      <c r="J355" s="10">
        <f>'CSAT-AVH'!AF70</f>
        <v>1</v>
      </c>
      <c r="K355" s="10" t="str">
        <f>'CSAT-AVH'!AI70</f>
        <v/>
      </c>
      <c r="L355" s="10" t="str">
        <f>'CSAT-AVH'!AL70</f>
        <v/>
      </c>
      <c r="M355" s="10" t="str">
        <f>'CSAT-AVH'!AO70</f>
        <v/>
      </c>
      <c r="N355" s="10" t="e">
        <f>'CSAT-AVH'!#REF!</f>
        <v>#REF!</v>
      </c>
      <c r="O355" s="10" t="e">
        <f>'CSAT-AVH'!#REF!</f>
        <v>#REF!</v>
      </c>
    </row>
    <row r="356" spans="1:15" x14ac:dyDescent="0.3">
      <c r="A356" s="33" t="s">
        <v>119</v>
      </c>
      <c r="B356" s="10" t="str">
        <f>'CSAT-AVH'!H69</f>
        <v/>
      </c>
      <c r="C356" s="10" t="str">
        <f>'CSAT-AVH'!K69</f>
        <v/>
      </c>
      <c r="D356" s="10" t="str">
        <f>'CSAT-AVH'!N69</f>
        <v/>
      </c>
      <c r="E356" s="10" t="str">
        <f>'CSAT-AVH'!Q69</f>
        <v/>
      </c>
      <c r="F356" s="10" t="str">
        <f>'CSAT-AVH'!T69</f>
        <v/>
      </c>
      <c r="G356" s="10" t="str">
        <f>'CSAT-AVH'!W69</f>
        <v/>
      </c>
      <c r="H356" s="10" t="str">
        <f>'CSAT-AVH'!Z69</f>
        <v/>
      </c>
      <c r="I356" s="10" t="str">
        <f>'CSAT-AVH'!AC69</f>
        <v/>
      </c>
      <c r="J356" s="10">
        <f>'CSAT-AVH'!AF69</f>
        <v>0</v>
      </c>
      <c r="K356" s="10" t="str">
        <f>'CSAT-AVH'!AI69</f>
        <v/>
      </c>
      <c r="L356" s="10" t="str">
        <f>'CSAT-AVH'!AL69</f>
        <v/>
      </c>
      <c r="M356" s="10" t="str">
        <f>'CSAT-AVH'!AO69</f>
        <v/>
      </c>
      <c r="N356" s="10" t="e">
        <f>'CSAT-AVH'!#REF!</f>
        <v>#REF!</v>
      </c>
      <c r="O356" s="10" t="e">
        <f>'CSAT-AVH'!#REF!</f>
        <v>#REF!</v>
      </c>
    </row>
    <row r="357" spans="1:15" x14ac:dyDescent="0.3">
      <c r="A357" s="33" t="s">
        <v>121</v>
      </c>
      <c r="B357" s="10" t="str">
        <f>'CSAT-AVH'!H71</f>
        <v/>
      </c>
      <c r="C357" s="10" t="str">
        <f>'CSAT-AVH'!K71</f>
        <v/>
      </c>
      <c r="D357" s="10" t="str">
        <f>'CSAT-AVH'!N71</f>
        <v/>
      </c>
      <c r="E357" s="10" t="str">
        <f>'CSAT-AVH'!Q71</f>
        <v/>
      </c>
      <c r="F357" s="10" t="str">
        <f>'CSAT-AVH'!T71</f>
        <v/>
      </c>
      <c r="G357" s="10" t="str">
        <f>'CSAT-AVH'!W71</f>
        <v/>
      </c>
      <c r="H357" s="10" t="str">
        <f>'CSAT-AVH'!Z71</f>
        <v/>
      </c>
      <c r="I357" s="10" t="str">
        <f>'CSAT-AVH'!AC71</f>
        <v/>
      </c>
      <c r="J357" s="10">
        <f>'CSAT-AVH'!AF71</f>
        <v>0</v>
      </c>
      <c r="K357" s="10" t="str">
        <f>'CSAT-AVH'!AI71</f>
        <v/>
      </c>
      <c r="L357" s="10" t="str">
        <f>'CSAT-AVH'!AL71</f>
        <v/>
      </c>
      <c r="M357" s="10" t="str">
        <f>'CSAT-AVH'!AO71</f>
        <v/>
      </c>
      <c r="N357" s="10" t="e">
        <f>'CSAT-AVH'!#REF!</f>
        <v>#REF!</v>
      </c>
      <c r="O357" s="10" t="e">
        <f>'CSAT-AVH'!#REF!</f>
        <v>#REF!</v>
      </c>
    </row>
    <row r="358" spans="1:15" x14ac:dyDescent="0.3">
      <c r="A358" s="33" t="s">
        <v>122</v>
      </c>
      <c r="B358" s="10" t="str">
        <f>'CSAT-AVH'!H72</f>
        <v/>
      </c>
      <c r="C358" s="10" t="str">
        <f>'CSAT-AVH'!K72</f>
        <v/>
      </c>
      <c r="D358" s="10" t="str">
        <f>'CSAT-AVH'!N72</f>
        <v/>
      </c>
      <c r="E358" s="10" t="str">
        <f>'CSAT-AVH'!Q72</f>
        <v/>
      </c>
      <c r="F358" s="10" t="str">
        <f>'CSAT-AVH'!T72</f>
        <v/>
      </c>
      <c r="G358" s="10" t="str">
        <f>'CSAT-AVH'!W72</f>
        <v/>
      </c>
      <c r="H358" s="10" t="str">
        <f>'CSAT-AVH'!Z72</f>
        <v/>
      </c>
      <c r="I358" s="10" t="str">
        <f>'CSAT-AVH'!AC72</f>
        <v/>
      </c>
      <c r="J358" s="10">
        <f>'CSAT-AVH'!AF72</f>
        <v>0</v>
      </c>
      <c r="K358" s="10" t="str">
        <f>'CSAT-AVH'!AI72</f>
        <v/>
      </c>
      <c r="L358" s="10" t="str">
        <f>'CSAT-AVH'!AL72</f>
        <v/>
      </c>
      <c r="M358" s="10" t="str">
        <f>'CSAT-AVH'!AO72</f>
        <v/>
      </c>
      <c r="N358" s="10" t="e">
        <f>'CSAT-AVH'!#REF!</f>
        <v>#REF!</v>
      </c>
      <c r="O358" s="10" t="e">
        <f>'CSAT-AVH'!#REF!</f>
        <v>#REF!</v>
      </c>
    </row>
    <row r="359" spans="1:15" x14ac:dyDescent="0.3">
      <c r="A359" s="33" t="s">
        <v>123</v>
      </c>
      <c r="B359" s="10" t="str">
        <f>'CSAT-AVH'!H73</f>
        <v/>
      </c>
      <c r="C359" s="10" t="str">
        <f>'CSAT-AVH'!K73</f>
        <v/>
      </c>
      <c r="D359" s="10" t="str">
        <f>'CSAT-AVH'!N73</f>
        <v/>
      </c>
      <c r="E359" s="10" t="str">
        <f>'CSAT-AVH'!Q73</f>
        <v/>
      </c>
      <c r="F359" s="10" t="str">
        <f>'CSAT-AVH'!T73</f>
        <v/>
      </c>
      <c r="G359" s="10" t="str">
        <f>'CSAT-AVH'!W73</f>
        <v/>
      </c>
      <c r="H359" s="10" t="str">
        <f>'CSAT-AVH'!Z73</f>
        <v/>
      </c>
      <c r="I359" s="10" t="str">
        <f>'CSAT-AVH'!AC73</f>
        <v/>
      </c>
      <c r="J359" s="10">
        <f>'CSAT-AVH'!AF73</f>
        <v>0</v>
      </c>
      <c r="K359" s="10" t="str">
        <f>'CSAT-AVH'!AI73</f>
        <v/>
      </c>
      <c r="L359" s="10" t="str">
        <f>'CSAT-AVH'!AL73</f>
        <v/>
      </c>
      <c r="M359" s="10" t="str">
        <f>'CSAT-AVH'!AO73</f>
        <v/>
      </c>
      <c r="N359" s="10" t="e">
        <f>'CSAT-AVH'!#REF!</f>
        <v>#REF!</v>
      </c>
      <c r="O359" s="10" t="e">
        <f>'CSAT-AVH'!#REF!</f>
        <v>#REF!</v>
      </c>
    </row>
    <row r="360" spans="1:15" ht="18" x14ac:dyDescent="0.3">
      <c r="A360" s="41" t="s">
        <v>81</v>
      </c>
      <c r="B360" s="4"/>
    </row>
    <row r="361" spans="1:15" x14ac:dyDescent="0.3">
      <c r="A361" s="4"/>
      <c r="B361" s="9">
        <f t="shared" ref="B361:N361" si="38">B240</f>
        <v>45748</v>
      </c>
      <c r="C361" s="9">
        <f t="shared" si="38"/>
        <v>45778</v>
      </c>
      <c r="D361" s="9">
        <f t="shared" si="38"/>
        <v>45809</v>
      </c>
      <c r="E361" s="9">
        <f t="shared" si="38"/>
        <v>45839</v>
      </c>
      <c r="F361" s="9">
        <f t="shared" si="38"/>
        <v>45870</v>
      </c>
      <c r="G361" s="9">
        <f t="shared" si="38"/>
        <v>45901</v>
      </c>
      <c r="H361" s="9">
        <f t="shared" si="38"/>
        <v>45931</v>
      </c>
      <c r="I361" s="9">
        <f t="shared" si="38"/>
        <v>45962</v>
      </c>
      <c r="J361" s="9">
        <f t="shared" si="38"/>
        <v>45992</v>
      </c>
      <c r="K361" s="9">
        <f t="shared" si="38"/>
        <v>46023</v>
      </c>
      <c r="L361" s="9">
        <f t="shared" si="38"/>
        <v>46054</v>
      </c>
      <c r="M361" s="9">
        <f t="shared" si="38"/>
        <v>46082</v>
      </c>
      <c r="N361" s="9">
        <f t="shared" si="38"/>
        <v>46113</v>
      </c>
      <c r="O361" s="9">
        <f t="shared" ref="O361" si="39">O240</f>
        <v>46143</v>
      </c>
    </row>
    <row r="362" spans="1:15" x14ac:dyDescent="0.3">
      <c r="A362" s="22" t="s">
        <v>81</v>
      </c>
      <c r="B362" s="4"/>
      <c r="C362" s="4"/>
      <c r="D362" s="4"/>
      <c r="E362" s="4"/>
      <c r="F362" s="4"/>
    </row>
    <row r="363" spans="1:15" x14ac:dyDescent="0.3">
      <c r="A363" s="33" t="s">
        <v>120</v>
      </c>
      <c r="B363" s="10" t="str">
        <f>'CSAT-AVH'!H76</f>
        <v/>
      </c>
      <c r="C363" s="10" t="str">
        <f>'CSAT-AVH'!K76</f>
        <v/>
      </c>
      <c r="D363" s="10" t="str">
        <f>'CSAT-AVH'!N76</f>
        <v/>
      </c>
      <c r="E363" s="10" t="str">
        <f>'CSAT-AVH'!Q76</f>
        <v/>
      </c>
      <c r="F363" s="10" t="str">
        <f>'CSAT-AVH'!T76</f>
        <v/>
      </c>
      <c r="G363" s="10" t="str">
        <f>'CSAT-AVH'!W76</f>
        <v/>
      </c>
      <c r="H363" s="10" t="str">
        <f>'CSAT-AVH'!Z76</f>
        <v/>
      </c>
      <c r="I363" s="10" t="str">
        <f>'CSAT-AVH'!AC76</f>
        <v/>
      </c>
      <c r="J363" s="10">
        <f>'CSAT-AVH'!AF76</f>
        <v>1</v>
      </c>
      <c r="K363" s="10" t="str">
        <f>'CSAT-AVH'!AI76</f>
        <v/>
      </c>
      <c r="L363" s="10" t="str">
        <f>'CSAT-AVH'!AL76</f>
        <v/>
      </c>
      <c r="M363" s="10" t="str">
        <f>'CSAT-AVH'!AO76</f>
        <v/>
      </c>
      <c r="N363" s="10" t="e">
        <f>'CSAT-AVH'!#REF!</f>
        <v>#REF!</v>
      </c>
      <c r="O363" s="10" t="e">
        <f>'CSAT-AVH'!#REF!</f>
        <v>#REF!</v>
      </c>
    </row>
    <row r="364" spans="1:15" x14ac:dyDescent="0.3">
      <c r="A364" s="33" t="s">
        <v>119</v>
      </c>
      <c r="B364" s="10" t="str">
        <f>'CSAT-AVH'!H75</f>
        <v/>
      </c>
      <c r="C364" s="10" t="str">
        <f>'CSAT-AVH'!K75</f>
        <v/>
      </c>
      <c r="D364" s="10" t="str">
        <f>'CSAT-AVH'!N75</f>
        <v/>
      </c>
      <c r="E364" s="10" t="str">
        <f>'CSAT-AVH'!Q75</f>
        <v/>
      </c>
      <c r="F364" s="10" t="str">
        <f>'CSAT-AVH'!T75</f>
        <v/>
      </c>
      <c r="G364" s="10" t="str">
        <f>'CSAT-AVH'!W75</f>
        <v/>
      </c>
      <c r="H364" s="10" t="str">
        <f>'CSAT-AVH'!Z75</f>
        <v/>
      </c>
      <c r="I364" s="10" t="str">
        <f>'CSAT-AVH'!AC75</f>
        <v/>
      </c>
      <c r="J364" s="10">
        <f>'CSAT-AVH'!AF75</f>
        <v>0</v>
      </c>
      <c r="K364" s="10" t="str">
        <f>'CSAT-AVH'!AI75</f>
        <v/>
      </c>
      <c r="L364" s="10" t="str">
        <f>'CSAT-AVH'!AL75</f>
        <v/>
      </c>
      <c r="M364" s="10" t="str">
        <f>'CSAT-AVH'!AO75</f>
        <v/>
      </c>
      <c r="N364" s="10" t="e">
        <f>'CSAT-AVH'!#REF!</f>
        <v>#REF!</v>
      </c>
      <c r="O364" s="10" t="e">
        <f>'CSAT-AVH'!#REF!</f>
        <v>#REF!</v>
      </c>
    </row>
    <row r="365" spans="1:15" x14ac:dyDescent="0.3">
      <c r="A365" s="33" t="s">
        <v>121</v>
      </c>
      <c r="B365" s="10" t="str">
        <f>'CSAT-AVH'!H77</f>
        <v/>
      </c>
      <c r="C365" s="10" t="str">
        <f>'CSAT-AVH'!K77</f>
        <v/>
      </c>
      <c r="D365" s="10" t="str">
        <f>'CSAT-AVH'!N77</f>
        <v/>
      </c>
      <c r="E365" s="10" t="str">
        <f>'CSAT-AVH'!Q77</f>
        <v/>
      </c>
      <c r="F365" s="10" t="str">
        <f>'CSAT-AVH'!T77</f>
        <v/>
      </c>
      <c r="G365" s="10" t="str">
        <f>'CSAT-AVH'!W77</f>
        <v/>
      </c>
      <c r="H365" s="10" t="str">
        <f>'CSAT-AVH'!Z77</f>
        <v/>
      </c>
      <c r="I365" s="10" t="str">
        <f>'CSAT-AVH'!AC77</f>
        <v/>
      </c>
      <c r="J365" s="10">
        <f>'CSAT-AVH'!AF77</f>
        <v>0</v>
      </c>
      <c r="K365" s="10" t="str">
        <f>'CSAT-AVH'!AI77</f>
        <v/>
      </c>
      <c r="L365" s="10" t="str">
        <f>'CSAT-AVH'!AL77</f>
        <v/>
      </c>
      <c r="M365" s="10" t="str">
        <f>'CSAT-AVH'!AO77</f>
        <v/>
      </c>
      <c r="N365" s="10" t="e">
        <f>'CSAT-AVH'!#REF!</f>
        <v>#REF!</v>
      </c>
      <c r="O365" s="10" t="e">
        <f>'CSAT-AVH'!#REF!</f>
        <v>#REF!</v>
      </c>
    </row>
    <row r="366" spans="1:15" x14ac:dyDescent="0.3">
      <c r="A366" s="33" t="s">
        <v>122</v>
      </c>
      <c r="B366" s="10" t="str">
        <f>'CSAT-AVH'!H78</f>
        <v/>
      </c>
      <c r="C366" s="10" t="str">
        <f>'CSAT-AVH'!K78</f>
        <v/>
      </c>
      <c r="D366" s="10" t="str">
        <f>'CSAT-AVH'!N78</f>
        <v/>
      </c>
      <c r="E366" s="10" t="str">
        <f>'CSAT-AVH'!Q78</f>
        <v/>
      </c>
      <c r="F366" s="10" t="str">
        <f>'CSAT-AVH'!T78</f>
        <v/>
      </c>
      <c r="G366" s="10" t="str">
        <f>'CSAT-AVH'!W78</f>
        <v/>
      </c>
      <c r="H366" s="10" t="str">
        <f>'CSAT-AVH'!Z78</f>
        <v/>
      </c>
      <c r="I366" s="10" t="str">
        <f>'CSAT-AVH'!AC78</f>
        <v/>
      </c>
      <c r="J366" s="10">
        <f>'CSAT-AVH'!AF78</f>
        <v>0</v>
      </c>
      <c r="K366" s="10" t="str">
        <f>'CSAT-AVH'!AI78</f>
        <v/>
      </c>
      <c r="L366" s="10" t="str">
        <f>'CSAT-AVH'!AL78</f>
        <v/>
      </c>
      <c r="M366" s="10" t="str">
        <f>'CSAT-AVH'!AO78</f>
        <v/>
      </c>
      <c r="N366" s="10" t="e">
        <f>'CSAT-AVH'!#REF!</f>
        <v>#REF!</v>
      </c>
      <c r="O366" s="10" t="e">
        <f>'CSAT-AVH'!#REF!</f>
        <v>#REF!</v>
      </c>
    </row>
    <row r="367" spans="1:15" x14ac:dyDescent="0.3">
      <c r="A367" s="33" t="s">
        <v>123</v>
      </c>
      <c r="B367" s="10" t="str">
        <f>'CSAT-AVH'!H79</f>
        <v/>
      </c>
      <c r="C367" s="10" t="str">
        <f>'CSAT-AVH'!K79</f>
        <v/>
      </c>
      <c r="D367" s="10" t="str">
        <f>'CSAT-AVH'!N79</f>
        <v/>
      </c>
      <c r="E367" s="10" t="str">
        <f>'CSAT-AVH'!Q79</f>
        <v/>
      </c>
      <c r="F367" s="10" t="str">
        <f>'CSAT-AVH'!T79</f>
        <v/>
      </c>
      <c r="G367" s="10" t="str">
        <f>'CSAT-AVH'!W79</f>
        <v/>
      </c>
      <c r="H367" s="10" t="str">
        <f>'CSAT-AVH'!Z79</f>
        <v/>
      </c>
      <c r="I367" s="10" t="str">
        <f>'CSAT-AVH'!AC79</f>
        <v/>
      </c>
      <c r="J367" s="10">
        <f>'CSAT-AVH'!AF79</f>
        <v>0</v>
      </c>
      <c r="K367" s="10" t="str">
        <f>'CSAT-AVH'!AI79</f>
        <v/>
      </c>
      <c r="L367" s="10" t="str">
        <f>'CSAT-AVH'!AL79</f>
        <v/>
      </c>
      <c r="M367" s="10" t="str">
        <f>'CSAT-AVH'!AO79</f>
        <v/>
      </c>
      <c r="N367" s="10" t="e">
        <f>'CSAT-AVH'!#REF!</f>
        <v>#REF!</v>
      </c>
      <c r="O367" s="10" t="e">
        <f>'CSAT-AVH'!#REF!</f>
        <v>#REF!</v>
      </c>
    </row>
    <row r="368" spans="1:15" ht="18" x14ac:dyDescent="0.3">
      <c r="A368" s="42" t="s">
        <v>166</v>
      </c>
    </row>
    <row r="369" spans="1:15" x14ac:dyDescent="0.3">
      <c r="A369" s="4"/>
      <c r="B369" s="9">
        <f t="shared" ref="B369:N369" si="40">B240</f>
        <v>45748</v>
      </c>
      <c r="C369" s="9">
        <f t="shared" si="40"/>
        <v>45778</v>
      </c>
      <c r="D369" s="9">
        <f t="shared" si="40"/>
        <v>45809</v>
      </c>
      <c r="E369" s="9">
        <f t="shared" si="40"/>
        <v>45839</v>
      </c>
      <c r="F369" s="9">
        <f t="shared" si="40"/>
        <v>45870</v>
      </c>
      <c r="G369" s="9">
        <f t="shared" si="40"/>
        <v>45901</v>
      </c>
      <c r="H369" s="9">
        <f t="shared" si="40"/>
        <v>45931</v>
      </c>
      <c r="I369" s="9">
        <f t="shared" si="40"/>
        <v>45962</v>
      </c>
      <c r="J369" s="9">
        <f t="shared" si="40"/>
        <v>45992</v>
      </c>
      <c r="K369" s="9">
        <f t="shared" si="40"/>
        <v>46023</v>
      </c>
      <c r="L369" s="9">
        <f t="shared" si="40"/>
        <v>46054</v>
      </c>
      <c r="M369" s="9">
        <f t="shared" si="40"/>
        <v>46082</v>
      </c>
      <c r="N369" s="9">
        <f t="shared" si="40"/>
        <v>46113</v>
      </c>
      <c r="O369" s="9">
        <f t="shared" ref="O369" si="41">O240</f>
        <v>46143</v>
      </c>
    </row>
    <row r="370" spans="1:15" ht="27.6" x14ac:dyDescent="0.3">
      <c r="A370" s="22" t="s">
        <v>166</v>
      </c>
      <c r="B370" s="4"/>
      <c r="C370" s="4"/>
      <c r="D370" s="4"/>
      <c r="E370" s="4"/>
      <c r="F370" s="4"/>
      <c r="G370" s="4"/>
      <c r="H370" s="4"/>
      <c r="I370" s="4"/>
      <c r="J370" s="4"/>
      <c r="K370" s="4"/>
      <c r="L370" s="4"/>
      <c r="M370" s="4"/>
      <c r="N370" s="4"/>
      <c r="O370" s="4"/>
    </row>
    <row r="371" spans="1:15" x14ac:dyDescent="0.3">
      <c r="A371" s="33" t="s">
        <v>120</v>
      </c>
      <c r="B371" s="10" t="str">
        <f>'CSAT-AVH'!H82</f>
        <v/>
      </c>
      <c r="C371" s="10" t="str">
        <f>'CSAT-AVH'!K82</f>
        <v/>
      </c>
      <c r="D371" s="10" t="str">
        <f>'CSAT-AVH'!N82</f>
        <v/>
      </c>
      <c r="E371" s="10" t="str">
        <f>'CSAT-AVH'!Q82</f>
        <v/>
      </c>
      <c r="F371" s="10" t="str">
        <f>'CSAT-AVH'!T82</f>
        <v/>
      </c>
      <c r="G371" s="10" t="str">
        <f>'CSAT-AVH'!W82</f>
        <v/>
      </c>
      <c r="H371" s="10" t="str">
        <f>'CSAT-AVH'!Z82</f>
        <v/>
      </c>
      <c r="I371" s="10" t="str">
        <f>'CSAT-AVH'!AC82</f>
        <v/>
      </c>
      <c r="J371" s="10">
        <f>'CSAT-AVH'!AF82</f>
        <v>0</v>
      </c>
      <c r="K371" s="10" t="str">
        <f>'CSAT-AVH'!AI82</f>
        <v/>
      </c>
      <c r="L371" s="10" t="str">
        <f>'CSAT-AVH'!AL82</f>
        <v/>
      </c>
      <c r="M371" s="10" t="str">
        <f>'CSAT-AVH'!AO82</f>
        <v/>
      </c>
      <c r="N371" s="10" t="e">
        <f>'CSAT-AVH'!#REF!</f>
        <v>#REF!</v>
      </c>
      <c r="O371" s="10" t="e">
        <f>'CSAT-AVH'!#REF!</f>
        <v>#REF!</v>
      </c>
    </row>
    <row r="372" spans="1:15" x14ac:dyDescent="0.3">
      <c r="A372" s="33" t="s">
        <v>119</v>
      </c>
      <c r="B372" s="10" t="str">
        <f>'CSAT-AVH'!H81</f>
        <v/>
      </c>
      <c r="C372" s="10" t="str">
        <f>'CSAT-AVH'!K81</f>
        <v/>
      </c>
      <c r="D372" s="10" t="str">
        <f>'CSAT-AVH'!N81</f>
        <v/>
      </c>
      <c r="E372" s="10" t="str">
        <f>'CSAT-AVH'!Q81</f>
        <v/>
      </c>
      <c r="F372" s="10" t="str">
        <f>'CSAT-AVH'!T81</f>
        <v/>
      </c>
      <c r="G372" s="10" t="str">
        <f>'CSAT-AVH'!W81</f>
        <v/>
      </c>
      <c r="H372" s="10" t="str">
        <f>'CSAT-AVH'!Z81</f>
        <v/>
      </c>
      <c r="I372" s="10" t="str">
        <f>'CSAT-AVH'!AC81</f>
        <v/>
      </c>
      <c r="J372" s="10">
        <f>'CSAT-AVH'!AF81</f>
        <v>0</v>
      </c>
      <c r="K372" s="10" t="str">
        <f>'CSAT-AVH'!AI81</f>
        <v/>
      </c>
      <c r="L372" s="10" t="str">
        <f>'CSAT-AVH'!AL81</f>
        <v/>
      </c>
      <c r="M372" s="10" t="str">
        <f>'CSAT-AVH'!AO81</f>
        <v/>
      </c>
      <c r="N372" s="10" t="e">
        <f>'CSAT-AVH'!#REF!</f>
        <v>#REF!</v>
      </c>
      <c r="O372" s="10" t="e">
        <f>'CSAT-AVH'!#REF!</f>
        <v>#REF!</v>
      </c>
    </row>
    <row r="373" spans="1:15" x14ac:dyDescent="0.3">
      <c r="A373" s="33" t="s">
        <v>121</v>
      </c>
      <c r="B373" s="10" t="str">
        <f>'CSAT-AVH'!H83</f>
        <v/>
      </c>
      <c r="C373" s="10" t="str">
        <f>'CSAT-AVH'!K83</f>
        <v/>
      </c>
      <c r="D373" s="10" t="str">
        <f>'CSAT-AVH'!N83</f>
        <v/>
      </c>
      <c r="E373" s="10" t="str">
        <f>'CSAT-AVH'!Q83</f>
        <v/>
      </c>
      <c r="F373" s="10" t="str">
        <f>'CSAT-AVH'!T83</f>
        <v/>
      </c>
      <c r="G373" s="10" t="str">
        <f>'CSAT-AVH'!W83</f>
        <v/>
      </c>
      <c r="H373" s="10" t="str">
        <f>'CSAT-AVH'!Z83</f>
        <v/>
      </c>
      <c r="I373" s="10" t="str">
        <f>'CSAT-AVH'!AC83</f>
        <v/>
      </c>
      <c r="J373" s="10">
        <f>'CSAT-AVH'!AF83</f>
        <v>1</v>
      </c>
      <c r="K373" s="10" t="str">
        <f>'CSAT-AVH'!AI83</f>
        <v/>
      </c>
      <c r="L373" s="10" t="str">
        <f>'CSAT-AVH'!AL83</f>
        <v/>
      </c>
      <c r="M373" s="10" t="str">
        <f>'CSAT-AVH'!AO83</f>
        <v/>
      </c>
      <c r="N373" s="10" t="e">
        <f>'CSAT-AVH'!#REF!</f>
        <v>#REF!</v>
      </c>
      <c r="O373" s="10" t="e">
        <f>'CSAT-AVH'!#REF!</f>
        <v>#REF!</v>
      </c>
    </row>
    <row r="374" spans="1:15" x14ac:dyDescent="0.3">
      <c r="A374" s="33" t="s">
        <v>122</v>
      </c>
      <c r="B374" s="10" t="str">
        <f>'CSAT-AVH'!H84</f>
        <v/>
      </c>
      <c r="C374" s="10" t="str">
        <f>'CSAT-AVH'!K84</f>
        <v/>
      </c>
      <c r="D374" s="10" t="str">
        <f>'CSAT-AVH'!N84</f>
        <v/>
      </c>
      <c r="E374" s="10" t="str">
        <f>'CSAT-AVH'!Q84</f>
        <v/>
      </c>
      <c r="F374" s="10" t="str">
        <f>'CSAT-AVH'!T84</f>
        <v/>
      </c>
      <c r="G374" s="10" t="str">
        <f>'CSAT-AVH'!W84</f>
        <v/>
      </c>
      <c r="H374" s="10" t="str">
        <f>'CSAT-AVH'!Z84</f>
        <v/>
      </c>
      <c r="I374" s="10" t="str">
        <f>'CSAT-AVH'!AC84</f>
        <v/>
      </c>
      <c r="J374" s="10">
        <f>'CSAT-AVH'!AF84</f>
        <v>0</v>
      </c>
      <c r="K374" s="10" t="str">
        <f>'CSAT-AVH'!AI84</f>
        <v/>
      </c>
      <c r="L374" s="10" t="str">
        <f>'CSAT-AVH'!AL84</f>
        <v/>
      </c>
      <c r="M374" s="10" t="str">
        <f>'CSAT-AVH'!AO84</f>
        <v/>
      </c>
      <c r="N374" s="10" t="e">
        <f>'CSAT-AVH'!#REF!</f>
        <v>#REF!</v>
      </c>
      <c r="O374" s="10" t="e">
        <f>'CSAT-AVH'!#REF!</f>
        <v>#REF!</v>
      </c>
    </row>
    <row r="375" spans="1:15" x14ac:dyDescent="0.3">
      <c r="A375" s="33" t="s">
        <v>123</v>
      </c>
      <c r="B375" s="10" t="str">
        <f>'CSAT-AVH'!H85</f>
        <v/>
      </c>
      <c r="C375" s="10" t="str">
        <f>'CSAT-AVH'!K85</f>
        <v/>
      </c>
      <c r="D375" s="10" t="str">
        <f>'CSAT-AVH'!N85</f>
        <v/>
      </c>
      <c r="E375" s="10" t="str">
        <f>'CSAT-AVH'!Q85</f>
        <v/>
      </c>
      <c r="F375" s="10" t="str">
        <f>'CSAT-AVH'!T85</f>
        <v/>
      </c>
      <c r="G375" s="10" t="str">
        <f>'CSAT-AVH'!W85</f>
        <v/>
      </c>
      <c r="H375" s="10" t="str">
        <f>'CSAT-AVH'!Z85</f>
        <v/>
      </c>
      <c r="I375" s="10" t="str">
        <f>'CSAT-AVH'!AC85</f>
        <v/>
      </c>
      <c r="J375" s="10">
        <f>'CSAT-AVH'!AF85</f>
        <v>0</v>
      </c>
      <c r="K375" s="10" t="str">
        <f>'CSAT-AVH'!AI85</f>
        <v/>
      </c>
      <c r="L375" s="10" t="str">
        <f>'CSAT-AVH'!AL85</f>
        <v/>
      </c>
      <c r="M375" s="10" t="str">
        <f>'CSAT-AVH'!AO85</f>
        <v/>
      </c>
      <c r="N375" s="10" t="e">
        <f>'CSAT-AVH'!#REF!</f>
        <v>#REF!</v>
      </c>
      <c r="O375" s="10" t="e">
        <f>'CSAT-AVH'!#REF!</f>
        <v>#REF!</v>
      </c>
    </row>
    <row r="376" spans="1:15" ht="18" x14ac:dyDescent="0.3">
      <c r="A376" s="42" t="s">
        <v>167</v>
      </c>
    </row>
    <row r="377" spans="1:15" x14ac:dyDescent="0.3">
      <c r="A377" s="4"/>
      <c r="B377" s="9">
        <f t="shared" ref="B377:N377" si="42">B240</f>
        <v>45748</v>
      </c>
      <c r="C377" s="9">
        <f t="shared" si="42"/>
        <v>45778</v>
      </c>
      <c r="D377" s="9">
        <f t="shared" si="42"/>
        <v>45809</v>
      </c>
      <c r="E377" s="9">
        <f t="shared" si="42"/>
        <v>45839</v>
      </c>
      <c r="F377" s="9">
        <f t="shared" si="42"/>
        <v>45870</v>
      </c>
      <c r="G377" s="9">
        <f t="shared" si="42"/>
        <v>45901</v>
      </c>
      <c r="H377" s="9">
        <f t="shared" si="42"/>
        <v>45931</v>
      </c>
      <c r="I377" s="9">
        <f t="shared" si="42"/>
        <v>45962</v>
      </c>
      <c r="J377" s="9">
        <f t="shared" si="42"/>
        <v>45992</v>
      </c>
      <c r="K377" s="9">
        <f t="shared" si="42"/>
        <v>46023</v>
      </c>
      <c r="L377" s="9">
        <f t="shared" si="42"/>
        <v>46054</v>
      </c>
      <c r="M377" s="9">
        <f t="shared" si="42"/>
        <v>46082</v>
      </c>
      <c r="N377" s="9">
        <f t="shared" si="42"/>
        <v>46113</v>
      </c>
      <c r="O377" s="9">
        <f t="shared" ref="O377" si="43">O240</f>
        <v>46143</v>
      </c>
    </row>
    <row r="378" spans="1:15" ht="27.6" x14ac:dyDescent="0.3">
      <c r="A378" s="22" t="s">
        <v>167</v>
      </c>
      <c r="B378" s="4"/>
      <c r="C378" s="4"/>
      <c r="D378" s="4"/>
      <c r="E378" s="4"/>
      <c r="F378" s="4"/>
      <c r="G378" s="4"/>
      <c r="H378" s="4"/>
      <c r="I378" s="4"/>
      <c r="J378" s="4"/>
      <c r="K378" s="4"/>
      <c r="L378" s="4"/>
      <c r="M378" s="4"/>
      <c r="N378" s="4"/>
      <c r="O378" s="4"/>
    </row>
    <row r="379" spans="1:15" x14ac:dyDescent="0.3">
      <c r="A379" s="33" t="s">
        <v>120</v>
      </c>
      <c r="B379" s="10" t="str">
        <f>'CSAT-AVH'!H88</f>
        <v/>
      </c>
      <c r="C379" s="10" t="str">
        <f>'CSAT-AVH'!K88</f>
        <v/>
      </c>
      <c r="D379" s="10" t="str">
        <f>'CSAT-AVH'!N88</f>
        <v/>
      </c>
      <c r="E379" s="10" t="str">
        <f>'CSAT-AVH'!Q88</f>
        <v/>
      </c>
      <c r="F379" s="10" t="str">
        <f>'CSAT-AVH'!T88</f>
        <v/>
      </c>
      <c r="G379" s="10" t="str">
        <f>'CSAT-AVH'!W88</f>
        <v/>
      </c>
      <c r="H379" s="10" t="str">
        <f>'CSAT-AVH'!Z88</f>
        <v/>
      </c>
      <c r="I379" s="10" t="str">
        <f>'CSAT-AVH'!AC88</f>
        <v/>
      </c>
      <c r="J379" s="10">
        <f>'CSAT-AVH'!AF88</f>
        <v>1</v>
      </c>
      <c r="K379" s="10" t="str">
        <f>'CSAT-AVH'!AI88</f>
        <v/>
      </c>
      <c r="L379" s="10" t="str">
        <f>'CSAT-AVH'!AL88</f>
        <v/>
      </c>
      <c r="M379" s="10" t="str">
        <f>'CSAT-AVH'!AO88</f>
        <v/>
      </c>
      <c r="N379" s="10" t="e">
        <f>'CSAT-AVH'!#REF!</f>
        <v>#REF!</v>
      </c>
      <c r="O379" s="10" t="e">
        <f>'CSAT-AVH'!#REF!</f>
        <v>#REF!</v>
      </c>
    </row>
    <row r="380" spans="1:15" x14ac:dyDescent="0.3">
      <c r="A380" s="33" t="s">
        <v>119</v>
      </c>
      <c r="B380" s="10" t="str">
        <f>'CSAT-AVH'!H87</f>
        <v/>
      </c>
      <c r="C380" s="10" t="str">
        <f>'CSAT-AVH'!K87</f>
        <v/>
      </c>
      <c r="D380" s="10" t="str">
        <f>'CSAT-AVH'!N87</f>
        <v/>
      </c>
      <c r="E380" s="10" t="str">
        <f>'CSAT-AVH'!Q87</f>
        <v/>
      </c>
      <c r="F380" s="10" t="str">
        <f>'CSAT-AVH'!T87</f>
        <v/>
      </c>
      <c r="G380" s="10" t="str">
        <f>'CSAT-AVH'!W87</f>
        <v/>
      </c>
      <c r="H380" s="10" t="str">
        <f>'CSAT-AVH'!Z87</f>
        <v/>
      </c>
      <c r="I380" s="10" t="str">
        <f>'CSAT-AVH'!AC87</f>
        <v/>
      </c>
      <c r="J380" s="10">
        <f>'CSAT-AVH'!AF87</f>
        <v>0</v>
      </c>
      <c r="K380" s="10" t="str">
        <f>'CSAT-AVH'!AI87</f>
        <v/>
      </c>
      <c r="L380" s="10" t="str">
        <f>'CSAT-AVH'!AL87</f>
        <v/>
      </c>
      <c r="M380" s="10" t="str">
        <f>'CSAT-AVH'!AO87</f>
        <v/>
      </c>
      <c r="N380" s="10" t="e">
        <f>'CSAT-AVH'!#REF!</f>
        <v>#REF!</v>
      </c>
      <c r="O380" s="10" t="e">
        <f>'CSAT-AVH'!#REF!</f>
        <v>#REF!</v>
      </c>
    </row>
    <row r="381" spans="1:15" x14ac:dyDescent="0.3">
      <c r="A381" s="33" t="s">
        <v>121</v>
      </c>
      <c r="B381" s="10" t="str">
        <f>'CSAT-AVH'!H89</f>
        <v/>
      </c>
      <c r="C381" s="10" t="str">
        <f>'CSAT-AVH'!K89</f>
        <v/>
      </c>
      <c r="D381" s="10" t="str">
        <f>'CSAT-AVH'!N89</f>
        <v/>
      </c>
      <c r="E381" s="10" t="str">
        <f>'CSAT-AVH'!Q89</f>
        <v/>
      </c>
      <c r="F381" s="10" t="str">
        <f>'CSAT-AVH'!T89</f>
        <v/>
      </c>
      <c r="G381" s="10" t="str">
        <f>'CSAT-AVH'!W89</f>
        <v/>
      </c>
      <c r="H381" s="10" t="str">
        <f>'CSAT-AVH'!Z89</f>
        <v/>
      </c>
      <c r="I381" s="10" t="str">
        <f>'CSAT-AVH'!AC89</f>
        <v/>
      </c>
      <c r="J381" s="10">
        <f>'CSAT-AVH'!AF89</f>
        <v>0</v>
      </c>
      <c r="K381" s="10" t="str">
        <f>'CSAT-AVH'!AI89</f>
        <v/>
      </c>
      <c r="L381" s="10" t="str">
        <f>'CSAT-AVH'!AL89</f>
        <v/>
      </c>
      <c r="M381" s="10" t="str">
        <f>'CSAT-AVH'!AO89</f>
        <v/>
      </c>
      <c r="N381" s="10" t="e">
        <f>'CSAT-AVH'!#REF!</f>
        <v>#REF!</v>
      </c>
      <c r="O381" s="10" t="e">
        <f>'CSAT-AVH'!#REF!</f>
        <v>#REF!</v>
      </c>
    </row>
    <row r="382" spans="1:15" x14ac:dyDescent="0.3">
      <c r="A382" s="33" t="s">
        <v>122</v>
      </c>
      <c r="B382" s="10" t="str">
        <f>'CSAT-AVH'!H90</f>
        <v/>
      </c>
      <c r="C382" s="10" t="str">
        <f>'CSAT-AVH'!K90</f>
        <v/>
      </c>
      <c r="D382" s="10" t="str">
        <f>'CSAT-AVH'!N90</f>
        <v/>
      </c>
      <c r="E382" s="10" t="str">
        <f>'CSAT-AVH'!Q90</f>
        <v/>
      </c>
      <c r="F382" s="10" t="str">
        <f>'CSAT-AVH'!T90</f>
        <v/>
      </c>
      <c r="G382" s="10" t="str">
        <f>'CSAT-AVH'!W90</f>
        <v/>
      </c>
      <c r="H382" s="10" t="str">
        <f>'CSAT-AVH'!Z90</f>
        <v/>
      </c>
      <c r="I382" s="10" t="str">
        <f>'CSAT-AVH'!AC90</f>
        <v/>
      </c>
      <c r="J382" s="10">
        <f>'CSAT-AVH'!AF90</f>
        <v>0</v>
      </c>
      <c r="K382" s="10" t="str">
        <f>'CSAT-AVH'!AI90</f>
        <v/>
      </c>
      <c r="L382" s="10" t="str">
        <f>'CSAT-AVH'!AL90</f>
        <v/>
      </c>
      <c r="M382" s="10" t="str">
        <f>'CSAT-AVH'!AO90</f>
        <v/>
      </c>
      <c r="N382" s="10" t="e">
        <f>'CSAT-AVH'!#REF!</f>
        <v>#REF!</v>
      </c>
      <c r="O382" s="10" t="e">
        <f>'CSAT-AVH'!#REF!</f>
        <v>#REF!</v>
      </c>
    </row>
    <row r="383" spans="1:15" x14ac:dyDescent="0.3">
      <c r="A383" s="33" t="s">
        <v>123</v>
      </c>
      <c r="B383" s="10" t="str">
        <f>'CSAT-AVH'!H91</f>
        <v/>
      </c>
      <c r="C383" s="10" t="str">
        <f>'CSAT-AVH'!K91</f>
        <v/>
      </c>
      <c r="D383" s="10" t="str">
        <f>'CSAT-AVH'!N91</f>
        <v/>
      </c>
      <c r="E383" s="10" t="str">
        <f>'CSAT-AVH'!Q91</f>
        <v/>
      </c>
      <c r="F383" s="10" t="str">
        <f>'CSAT-AVH'!T91</f>
        <v/>
      </c>
      <c r="G383" s="10" t="str">
        <f>'CSAT-AVH'!W91</f>
        <v/>
      </c>
      <c r="H383" s="10" t="str">
        <f>'CSAT-AVH'!Z91</f>
        <v/>
      </c>
      <c r="I383" s="10" t="str">
        <f>'CSAT-AVH'!AC91</f>
        <v/>
      </c>
      <c r="J383" s="10">
        <f>'CSAT-AVH'!AF91</f>
        <v>0</v>
      </c>
      <c r="K383" s="10" t="str">
        <f>'CSAT-AVH'!AI91</f>
        <v/>
      </c>
      <c r="L383" s="10" t="str">
        <f>'CSAT-AVH'!AL91</f>
        <v/>
      </c>
      <c r="M383" s="10" t="str">
        <f>'CSAT-AVH'!AO91</f>
        <v/>
      </c>
      <c r="N383" s="10" t="e">
        <f>'CSAT-AVH'!#REF!</f>
        <v>#REF!</v>
      </c>
      <c r="O383" s="10" t="e">
        <f>'CSAT-AVH'!#REF!</f>
        <v>#REF!</v>
      </c>
    </row>
    <row r="384" spans="1:15" ht="18" x14ac:dyDescent="0.3">
      <c r="A384" s="42" t="s">
        <v>84</v>
      </c>
    </row>
    <row r="385" spans="1:15" x14ac:dyDescent="0.3">
      <c r="A385" s="4"/>
      <c r="B385" s="9">
        <f t="shared" ref="B385:N385" si="44">B240</f>
        <v>45748</v>
      </c>
      <c r="C385" s="9">
        <f t="shared" si="44"/>
        <v>45778</v>
      </c>
      <c r="D385" s="9">
        <f t="shared" si="44"/>
        <v>45809</v>
      </c>
      <c r="E385" s="9">
        <f t="shared" si="44"/>
        <v>45839</v>
      </c>
      <c r="F385" s="9">
        <f t="shared" si="44"/>
        <v>45870</v>
      </c>
      <c r="G385" s="9">
        <f t="shared" si="44"/>
        <v>45901</v>
      </c>
      <c r="H385" s="9">
        <f t="shared" si="44"/>
        <v>45931</v>
      </c>
      <c r="I385" s="9">
        <f t="shared" si="44"/>
        <v>45962</v>
      </c>
      <c r="J385" s="9">
        <f t="shared" si="44"/>
        <v>45992</v>
      </c>
      <c r="K385" s="9">
        <f t="shared" si="44"/>
        <v>46023</v>
      </c>
      <c r="L385" s="9">
        <f t="shared" si="44"/>
        <v>46054</v>
      </c>
      <c r="M385" s="9">
        <f t="shared" si="44"/>
        <v>46082</v>
      </c>
      <c r="N385" s="9">
        <f t="shared" si="44"/>
        <v>46113</v>
      </c>
      <c r="O385" s="9">
        <f t="shared" ref="O385" si="45">O240</f>
        <v>46143</v>
      </c>
    </row>
    <row r="386" spans="1:15" ht="27.6" x14ac:dyDescent="0.3">
      <c r="A386" s="22" t="s">
        <v>84</v>
      </c>
      <c r="B386" s="4"/>
      <c r="C386" s="4"/>
      <c r="D386" s="4"/>
      <c r="E386" s="4"/>
      <c r="F386" s="4"/>
      <c r="G386" s="4"/>
      <c r="H386" s="4"/>
      <c r="I386" s="4"/>
      <c r="J386" s="4"/>
      <c r="K386" s="4"/>
      <c r="L386" s="4"/>
      <c r="M386" s="4"/>
      <c r="N386" s="4"/>
      <c r="O386" s="4"/>
    </row>
    <row r="387" spans="1:15" x14ac:dyDescent="0.3">
      <c r="A387" s="33" t="s">
        <v>120</v>
      </c>
      <c r="B387" s="10" t="str">
        <f>'CSAT-AVH'!H94</f>
        <v/>
      </c>
      <c r="C387" s="10" t="str">
        <f>'CSAT-AVH'!K94</f>
        <v/>
      </c>
      <c r="D387" s="10" t="str">
        <f>'CSAT-AVH'!N94</f>
        <v/>
      </c>
      <c r="E387" s="10" t="str">
        <f>'CSAT-AVH'!Q94</f>
        <v/>
      </c>
      <c r="F387" s="10" t="str">
        <f>'CSAT-AVH'!T94</f>
        <v/>
      </c>
      <c r="G387" s="10" t="str">
        <f>'CSAT-AVH'!W94</f>
        <v/>
      </c>
      <c r="H387" s="10" t="str">
        <f>'CSAT-AVH'!Z94</f>
        <v/>
      </c>
      <c r="I387" s="10" t="str">
        <f>'CSAT-AVH'!AC94</f>
        <v/>
      </c>
      <c r="J387" s="10">
        <f>'CSAT-AVH'!AF94</f>
        <v>1</v>
      </c>
      <c r="K387" s="10" t="str">
        <f>'CSAT-AVH'!AI94</f>
        <v/>
      </c>
      <c r="L387" s="10" t="str">
        <f>'CSAT-AVH'!AL94</f>
        <v/>
      </c>
      <c r="M387" s="10" t="str">
        <f>'CSAT-AVH'!AO94</f>
        <v/>
      </c>
      <c r="N387" s="10" t="e">
        <f>'CSAT-AVH'!#REF!</f>
        <v>#REF!</v>
      </c>
      <c r="O387" s="10" t="e">
        <f>'CSAT-AVH'!#REF!</f>
        <v>#REF!</v>
      </c>
    </row>
    <row r="388" spans="1:15" x14ac:dyDescent="0.3">
      <c r="A388" s="33" t="s">
        <v>119</v>
      </c>
      <c r="B388" s="10" t="str">
        <f>'CSAT-AVH'!H93</f>
        <v/>
      </c>
      <c r="C388" s="10" t="str">
        <f>'CSAT-AVH'!K93</f>
        <v/>
      </c>
      <c r="D388" s="10" t="str">
        <f>'CSAT-AVH'!N93</f>
        <v/>
      </c>
      <c r="E388" s="10" t="str">
        <f>'CSAT-AVH'!Q93</f>
        <v/>
      </c>
      <c r="F388" s="10" t="str">
        <f>'CSAT-AVH'!T93</f>
        <v/>
      </c>
      <c r="G388" s="10" t="str">
        <f>'CSAT-AVH'!W93</f>
        <v/>
      </c>
      <c r="H388" s="10" t="str">
        <f>'CSAT-AVH'!Z93</f>
        <v/>
      </c>
      <c r="I388" s="10" t="str">
        <f>'CSAT-AVH'!AC93</f>
        <v/>
      </c>
      <c r="J388" s="10">
        <f>'CSAT-AVH'!AF93</f>
        <v>0</v>
      </c>
      <c r="K388" s="10" t="str">
        <f>'CSAT-AVH'!AI93</f>
        <v/>
      </c>
      <c r="L388" s="10" t="str">
        <f>'CSAT-AVH'!AL93</f>
        <v/>
      </c>
      <c r="M388" s="10" t="str">
        <f>'CSAT-AVH'!AO93</f>
        <v/>
      </c>
      <c r="N388" s="10" t="e">
        <f>'CSAT-AVH'!#REF!</f>
        <v>#REF!</v>
      </c>
      <c r="O388" s="10" t="e">
        <f>'CSAT-AVH'!#REF!</f>
        <v>#REF!</v>
      </c>
    </row>
    <row r="389" spans="1:15" x14ac:dyDescent="0.3">
      <c r="A389" s="33" t="s">
        <v>121</v>
      </c>
      <c r="B389" s="10" t="str">
        <f>'CSAT-AVH'!H95</f>
        <v/>
      </c>
      <c r="C389" s="10" t="str">
        <f>'CSAT-AVH'!K95</f>
        <v/>
      </c>
      <c r="D389" s="10" t="str">
        <f>'CSAT-AVH'!N95</f>
        <v/>
      </c>
      <c r="E389" s="10" t="str">
        <f>'CSAT-AVH'!Q95</f>
        <v/>
      </c>
      <c r="F389" s="10" t="str">
        <f>'CSAT-AVH'!T95</f>
        <v/>
      </c>
      <c r="G389" s="10" t="str">
        <f>'CSAT-AVH'!W95</f>
        <v/>
      </c>
      <c r="H389" s="10" t="str">
        <f>'CSAT-AVH'!Z95</f>
        <v/>
      </c>
      <c r="I389" s="10" t="str">
        <f>'CSAT-AVH'!AC95</f>
        <v/>
      </c>
      <c r="J389" s="10">
        <f>'CSAT-AVH'!AF95</f>
        <v>0</v>
      </c>
      <c r="K389" s="10" t="str">
        <f>'CSAT-AVH'!AI95</f>
        <v/>
      </c>
      <c r="L389" s="10" t="str">
        <f>'CSAT-AVH'!AL95</f>
        <v/>
      </c>
      <c r="M389" s="10" t="str">
        <f>'CSAT-AVH'!AO95</f>
        <v/>
      </c>
      <c r="N389" s="10" t="e">
        <f>'CSAT-AVH'!#REF!</f>
        <v>#REF!</v>
      </c>
      <c r="O389" s="10" t="e">
        <f>'CSAT-AVH'!#REF!</f>
        <v>#REF!</v>
      </c>
    </row>
    <row r="390" spans="1:15" x14ac:dyDescent="0.3">
      <c r="A390" s="33" t="s">
        <v>122</v>
      </c>
      <c r="B390" s="10" t="str">
        <f>'CSAT-AVH'!H96</f>
        <v/>
      </c>
      <c r="C390" s="10" t="str">
        <f>'CSAT-AVH'!K96</f>
        <v/>
      </c>
      <c r="D390" s="10" t="str">
        <f>'CSAT-AVH'!N96</f>
        <v/>
      </c>
      <c r="E390" s="10" t="str">
        <f>'CSAT-AVH'!Q96</f>
        <v/>
      </c>
      <c r="F390" s="10" t="str">
        <f>'CSAT-AVH'!T96</f>
        <v/>
      </c>
      <c r="G390" s="10" t="str">
        <f>'CSAT-AVH'!W96</f>
        <v/>
      </c>
      <c r="H390" s="10" t="str">
        <f>'CSAT-AVH'!Z96</f>
        <v/>
      </c>
      <c r="I390" s="10" t="str">
        <f>'CSAT-AVH'!AC96</f>
        <v/>
      </c>
      <c r="J390" s="10">
        <f>'CSAT-AVH'!AF96</f>
        <v>0</v>
      </c>
      <c r="K390" s="10" t="str">
        <f>'CSAT-AVH'!AI96</f>
        <v/>
      </c>
      <c r="L390" s="10" t="str">
        <f>'CSAT-AVH'!AL96</f>
        <v/>
      </c>
      <c r="M390" s="10" t="str">
        <f>'CSAT-AVH'!AO96</f>
        <v/>
      </c>
      <c r="N390" s="10" t="e">
        <f>'CSAT-AVH'!#REF!</f>
        <v>#REF!</v>
      </c>
      <c r="O390" s="10" t="e">
        <f>'CSAT-AVH'!#REF!</f>
        <v>#REF!</v>
      </c>
    </row>
    <row r="391" spans="1:15" x14ac:dyDescent="0.3">
      <c r="A391" s="33" t="s">
        <v>123</v>
      </c>
      <c r="B391" s="10" t="str">
        <f>'CSAT-AVH'!H97</f>
        <v/>
      </c>
      <c r="C391" s="10" t="str">
        <f>'CSAT-AVH'!K97</f>
        <v/>
      </c>
      <c r="D391" s="10" t="str">
        <f>'CSAT-AVH'!N97</f>
        <v/>
      </c>
      <c r="E391" s="10" t="str">
        <f>'CSAT-AVH'!Q97</f>
        <v/>
      </c>
      <c r="F391" s="10" t="str">
        <f>'CSAT-AVH'!T97</f>
        <v/>
      </c>
      <c r="G391" s="10" t="str">
        <f>'CSAT-AVH'!W97</f>
        <v/>
      </c>
      <c r="H391" s="10" t="str">
        <f>'CSAT-AVH'!Z97</f>
        <v/>
      </c>
      <c r="I391" s="10" t="str">
        <f>'CSAT-AVH'!AC97</f>
        <v/>
      </c>
      <c r="J391" s="10">
        <f>'CSAT-AVH'!AF97</f>
        <v>0</v>
      </c>
      <c r="K391" s="10" t="str">
        <f>'CSAT-AVH'!AI97</f>
        <v/>
      </c>
      <c r="L391" s="10" t="str">
        <f>'CSAT-AVH'!AL97</f>
        <v/>
      </c>
      <c r="M391" s="10" t="str">
        <f>'CSAT-AVH'!AO97</f>
        <v/>
      </c>
      <c r="N391" s="10" t="e">
        <f>'CSAT-AVH'!#REF!</f>
        <v>#REF!</v>
      </c>
      <c r="O391" s="10" t="e">
        <f>'CSAT-AVH'!#REF!</f>
        <v>#REF!</v>
      </c>
    </row>
    <row r="392" spans="1:15" ht="18" x14ac:dyDescent="0.3">
      <c r="A392" s="42" t="s">
        <v>85</v>
      </c>
    </row>
    <row r="393" spans="1:15" x14ac:dyDescent="0.3">
      <c r="A393" s="4"/>
      <c r="B393" s="9">
        <f t="shared" ref="B393:N393" si="46">B240</f>
        <v>45748</v>
      </c>
      <c r="C393" s="9">
        <f t="shared" si="46"/>
        <v>45778</v>
      </c>
      <c r="D393" s="9">
        <f t="shared" si="46"/>
        <v>45809</v>
      </c>
      <c r="E393" s="9">
        <f t="shared" si="46"/>
        <v>45839</v>
      </c>
      <c r="F393" s="9">
        <f t="shared" si="46"/>
        <v>45870</v>
      </c>
      <c r="G393" s="9">
        <f t="shared" si="46"/>
        <v>45901</v>
      </c>
      <c r="H393" s="9">
        <f t="shared" si="46"/>
        <v>45931</v>
      </c>
      <c r="I393" s="9">
        <f t="shared" si="46"/>
        <v>45962</v>
      </c>
      <c r="J393" s="9">
        <f t="shared" si="46"/>
        <v>45992</v>
      </c>
      <c r="K393" s="9">
        <f t="shared" si="46"/>
        <v>46023</v>
      </c>
      <c r="L393" s="9">
        <f t="shared" si="46"/>
        <v>46054</v>
      </c>
      <c r="M393" s="9">
        <f t="shared" si="46"/>
        <v>46082</v>
      </c>
      <c r="N393" s="9">
        <f t="shared" si="46"/>
        <v>46113</v>
      </c>
      <c r="O393" s="9">
        <f t="shared" ref="O393" si="47">O240</f>
        <v>46143</v>
      </c>
    </row>
    <row r="394" spans="1:15" ht="27.6" x14ac:dyDescent="0.3">
      <c r="A394" s="22" t="s">
        <v>85</v>
      </c>
      <c r="B394" s="4"/>
      <c r="C394" s="4"/>
      <c r="D394" s="4"/>
      <c r="E394" s="4"/>
      <c r="F394" s="4"/>
      <c r="G394" s="4"/>
      <c r="H394" s="4"/>
      <c r="I394" s="4"/>
      <c r="J394" s="4"/>
      <c r="K394" s="4"/>
      <c r="L394" s="4"/>
      <c r="M394" s="4"/>
      <c r="N394" s="4"/>
      <c r="O394" s="4"/>
    </row>
    <row r="395" spans="1:15" x14ac:dyDescent="0.3">
      <c r="A395" s="33" t="s">
        <v>120</v>
      </c>
      <c r="B395" s="10" t="str">
        <f>'CSAT-AVH'!H100</f>
        <v/>
      </c>
      <c r="C395" s="10" t="str">
        <f>'CSAT-AVH'!K100</f>
        <v/>
      </c>
      <c r="D395" s="10" t="str">
        <f>'CSAT-AVH'!N100</f>
        <v/>
      </c>
      <c r="E395" s="10" t="str">
        <f>'CSAT-AVH'!Q100</f>
        <v/>
      </c>
      <c r="F395" s="10" t="str">
        <f>'CSAT-AVH'!T100</f>
        <v/>
      </c>
      <c r="G395" s="10" t="str">
        <f>'CSAT-AVH'!W100</f>
        <v/>
      </c>
      <c r="H395" s="10" t="str">
        <f>'CSAT-AVH'!Z100</f>
        <v/>
      </c>
      <c r="I395" s="10" t="str">
        <f>'CSAT-AVH'!AC100</f>
        <v/>
      </c>
      <c r="J395" s="10">
        <f>'CSAT-AVH'!AF100</f>
        <v>0</v>
      </c>
      <c r="K395" s="10" t="str">
        <f>'CSAT-AVH'!AI100</f>
        <v/>
      </c>
      <c r="L395" s="10" t="str">
        <f>'CSAT-AVH'!AL100</f>
        <v/>
      </c>
      <c r="M395" s="10" t="str">
        <f>'CSAT-AVH'!AO100</f>
        <v/>
      </c>
      <c r="N395" s="10" t="e">
        <f>'CSAT-AVH'!#REF!</f>
        <v>#REF!</v>
      </c>
      <c r="O395" s="10" t="e">
        <f>'CSAT-AVH'!#REF!</f>
        <v>#REF!</v>
      </c>
    </row>
    <row r="396" spans="1:15" x14ac:dyDescent="0.3">
      <c r="A396" s="33" t="s">
        <v>119</v>
      </c>
      <c r="B396" s="10" t="str">
        <f>'CSAT-AVH'!H99</f>
        <v/>
      </c>
      <c r="C396" s="10" t="str">
        <f>'CSAT-AVH'!K99</f>
        <v/>
      </c>
      <c r="D396" s="10" t="str">
        <f>'CSAT-AVH'!N99</f>
        <v/>
      </c>
      <c r="E396" s="10" t="str">
        <f>'CSAT-AVH'!Q99</f>
        <v/>
      </c>
      <c r="F396" s="10" t="str">
        <f>'CSAT-AVH'!T99</f>
        <v/>
      </c>
      <c r="G396" s="10" t="str">
        <f>'CSAT-AVH'!W99</f>
        <v/>
      </c>
      <c r="H396" s="10" t="str">
        <f>'CSAT-AVH'!Z99</f>
        <v/>
      </c>
      <c r="I396" s="10" t="str">
        <f>'CSAT-AVH'!AC99</f>
        <v/>
      </c>
      <c r="J396" s="10">
        <f>'CSAT-AVH'!AF99</f>
        <v>0</v>
      </c>
      <c r="K396" s="10" t="str">
        <f>'CSAT-AVH'!AI99</f>
        <v/>
      </c>
      <c r="L396" s="10" t="str">
        <f>'CSAT-AVH'!AL99</f>
        <v/>
      </c>
      <c r="M396" s="10" t="str">
        <f>'CSAT-AVH'!AO99</f>
        <v/>
      </c>
      <c r="N396" s="10" t="e">
        <f>'CSAT-AVH'!#REF!</f>
        <v>#REF!</v>
      </c>
      <c r="O396" s="10" t="e">
        <f>'CSAT-AVH'!#REF!</f>
        <v>#REF!</v>
      </c>
    </row>
    <row r="397" spans="1:15" x14ac:dyDescent="0.3">
      <c r="A397" s="33" t="s">
        <v>121</v>
      </c>
      <c r="B397" s="10" t="str">
        <f>'CSAT-AVH'!H101</f>
        <v/>
      </c>
      <c r="C397" s="10" t="str">
        <f>'CSAT-AVH'!K101</f>
        <v/>
      </c>
      <c r="D397" s="10" t="str">
        <f>'CSAT-AVH'!N101</f>
        <v/>
      </c>
      <c r="E397" s="10" t="str">
        <f>'CSAT-AVH'!Q101</f>
        <v/>
      </c>
      <c r="F397" s="10" t="str">
        <f>'CSAT-AVH'!T101</f>
        <v/>
      </c>
      <c r="G397" s="10" t="str">
        <f>'CSAT-AVH'!W101</f>
        <v/>
      </c>
      <c r="H397" s="10" t="str">
        <f>'CSAT-AVH'!Z101</f>
        <v/>
      </c>
      <c r="I397" s="10" t="str">
        <f>'CSAT-AVH'!AC101</f>
        <v/>
      </c>
      <c r="J397" s="10">
        <f>'CSAT-AVH'!AF101</f>
        <v>0</v>
      </c>
      <c r="K397" s="10" t="str">
        <f>'CSAT-AVH'!AI101</f>
        <v/>
      </c>
      <c r="L397" s="10" t="str">
        <f>'CSAT-AVH'!AL101</f>
        <v/>
      </c>
      <c r="M397" s="10" t="str">
        <f>'CSAT-AVH'!AO101</f>
        <v/>
      </c>
      <c r="N397" s="10" t="e">
        <f>'CSAT-AVH'!#REF!</f>
        <v>#REF!</v>
      </c>
      <c r="O397" s="10" t="e">
        <f>'CSAT-AVH'!#REF!</f>
        <v>#REF!</v>
      </c>
    </row>
    <row r="398" spans="1:15" x14ac:dyDescent="0.3">
      <c r="A398" s="33" t="s">
        <v>122</v>
      </c>
      <c r="B398" s="10" t="str">
        <f>'CSAT-AVH'!H102</f>
        <v/>
      </c>
      <c r="C398" s="10" t="str">
        <f>'CSAT-AVH'!K102</f>
        <v/>
      </c>
      <c r="D398" s="10" t="str">
        <f>'CSAT-AVH'!N102</f>
        <v/>
      </c>
      <c r="E398" s="10" t="str">
        <f>'CSAT-AVH'!Q102</f>
        <v/>
      </c>
      <c r="F398" s="10" t="str">
        <f>'CSAT-AVH'!T102</f>
        <v/>
      </c>
      <c r="G398" s="10" t="str">
        <f>'CSAT-AVH'!W102</f>
        <v/>
      </c>
      <c r="H398" s="10" t="str">
        <f>'CSAT-AVH'!Z102</f>
        <v/>
      </c>
      <c r="I398" s="10" t="str">
        <f>'CSAT-AVH'!AC102</f>
        <v/>
      </c>
      <c r="J398" s="10">
        <f>'CSAT-AVH'!AF102</f>
        <v>1</v>
      </c>
      <c r="K398" s="10" t="str">
        <f>'CSAT-AVH'!AI102</f>
        <v/>
      </c>
      <c r="L398" s="10" t="str">
        <f>'CSAT-AVH'!AL102</f>
        <v/>
      </c>
      <c r="M398" s="10" t="str">
        <f>'CSAT-AVH'!AO102</f>
        <v/>
      </c>
      <c r="N398" s="10" t="e">
        <f>'CSAT-AVH'!#REF!</f>
        <v>#REF!</v>
      </c>
      <c r="O398" s="10" t="e">
        <f>'CSAT-AVH'!#REF!</f>
        <v>#REF!</v>
      </c>
    </row>
    <row r="399" spans="1:15" x14ac:dyDescent="0.3">
      <c r="A399" s="33" t="s">
        <v>123</v>
      </c>
      <c r="B399" s="10" t="str">
        <f>'CSAT-AVH'!H103</f>
        <v/>
      </c>
      <c r="C399" s="10" t="str">
        <f>'CSAT-AVH'!K103</f>
        <v/>
      </c>
      <c r="D399" s="10" t="str">
        <f>'CSAT-AVH'!N103</f>
        <v/>
      </c>
      <c r="E399" s="10" t="str">
        <f>'CSAT-AVH'!Q103</f>
        <v/>
      </c>
      <c r="F399" s="10" t="str">
        <f>'CSAT-AVH'!T103</f>
        <v/>
      </c>
      <c r="G399" s="10" t="str">
        <f>'CSAT-AVH'!W103</f>
        <v/>
      </c>
      <c r="H399" s="10" t="str">
        <f>'CSAT-AVH'!Z103</f>
        <v/>
      </c>
      <c r="I399" s="10" t="str">
        <f>'CSAT-AVH'!AC103</f>
        <v/>
      </c>
      <c r="J399" s="10">
        <f>'CSAT-AVH'!AF103</f>
        <v>0</v>
      </c>
      <c r="K399" s="10" t="str">
        <f>'CSAT-AVH'!AI103</f>
        <v/>
      </c>
      <c r="L399" s="10" t="str">
        <f>'CSAT-AVH'!AL103</f>
        <v/>
      </c>
      <c r="M399" s="10" t="str">
        <f>'CSAT-AVH'!AO103</f>
        <v/>
      </c>
      <c r="N399" s="10" t="e">
        <f>'CSAT-AVH'!#REF!</f>
        <v>#REF!</v>
      </c>
      <c r="O399" s="10" t="e">
        <f>'CSAT-AVH'!#REF!</f>
        <v>#REF!</v>
      </c>
    </row>
    <row r="400" spans="1:15" ht="18" x14ac:dyDescent="0.3">
      <c r="A400" s="42" t="s">
        <v>86</v>
      </c>
    </row>
    <row r="401" spans="1:15" x14ac:dyDescent="0.3">
      <c r="A401" s="4"/>
      <c r="B401" s="9">
        <f t="shared" ref="B401:N401" si="48">B240</f>
        <v>45748</v>
      </c>
      <c r="C401" s="9">
        <f t="shared" si="48"/>
        <v>45778</v>
      </c>
      <c r="D401" s="9">
        <f t="shared" si="48"/>
        <v>45809</v>
      </c>
      <c r="E401" s="9">
        <f t="shared" si="48"/>
        <v>45839</v>
      </c>
      <c r="F401" s="9">
        <f t="shared" si="48"/>
        <v>45870</v>
      </c>
      <c r="G401" s="9">
        <f t="shared" si="48"/>
        <v>45901</v>
      </c>
      <c r="H401" s="9">
        <f t="shared" si="48"/>
        <v>45931</v>
      </c>
      <c r="I401" s="9">
        <f t="shared" si="48"/>
        <v>45962</v>
      </c>
      <c r="J401" s="9">
        <f t="shared" si="48"/>
        <v>45992</v>
      </c>
      <c r="K401" s="9">
        <f t="shared" si="48"/>
        <v>46023</v>
      </c>
      <c r="L401" s="9">
        <f t="shared" si="48"/>
        <v>46054</v>
      </c>
      <c r="M401" s="9">
        <f t="shared" si="48"/>
        <v>46082</v>
      </c>
      <c r="N401" s="9">
        <f t="shared" si="48"/>
        <v>46113</v>
      </c>
      <c r="O401" s="9">
        <f t="shared" ref="O401" si="49">O240</f>
        <v>46143</v>
      </c>
    </row>
    <row r="402" spans="1:15" ht="27.6" x14ac:dyDescent="0.3">
      <c r="A402" s="22" t="s">
        <v>86</v>
      </c>
      <c r="B402" s="4"/>
      <c r="C402" s="4"/>
      <c r="D402" s="4"/>
      <c r="E402" s="4"/>
      <c r="F402" s="4"/>
      <c r="G402" s="4"/>
      <c r="H402" s="4"/>
      <c r="I402" s="4"/>
      <c r="J402" s="4"/>
      <c r="K402" s="4"/>
      <c r="L402" s="4"/>
      <c r="M402" s="4"/>
      <c r="N402" s="4"/>
      <c r="O402" s="4"/>
    </row>
    <row r="403" spans="1:15" x14ac:dyDescent="0.3">
      <c r="A403" s="33" t="s">
        <v>120</v>
      </c>
      <c r="B403" s="10" t="str">
        <f>'CSAT-AVH'!H106</f>
        <v/>
      </c>
      <c r="C403" s="10" t="str">
        <f>'CSAT-AVH'!K106</f>
        <v/>
      </c>
      <c r="D403" s="10" t="str">
        <f>'CSAT-AVH'!N106</f>
        <v/>
      </c>
      <c r="E403" s="10" t="str">
        <f>'CSAT-AVH'!Q106</f>
        <v/>
      </c>
      <c r="F403" s="10" t="str">
        <f>'CSAT-AVH'!T106</f>
        <v/>
      </c>
      <c r="G403" s="10" t="str">
        <f>'CSAT-AVH'!W106</f>
        <v/>
      </c>
      <c r="H403" s="10" t="str">
        <f>'CSAT-AVH'!Z106</f>
        <v/>
      </c>
      <c r="I403" s="10" t="str">
        <f>'CSAT-AVH'!AC106</f>
        <v/>
      </c>
      <c r="J403" s="10">
        <f>'CSAT-AVH'!AF106</f>
        <v>0</v>
      </c>
      <c r="K403" s="10" t="str">
        <f>'CSAT-AVH'!AI106</f>
        <v/>
      </c>
      <c r="L403" s="10" t="str">
        <f>'CSAT-AVH'!AL106</f>
        <v/>
      </c>
      <c r="M403" s="10" t="str">
        <f>'CSAT-AVH'!AO106</f>
        <v/>
      </c>
      <c r="N403" s="10" t="e">
        <f>'CSAT-AVH'!#REF!</f>
        <v>#REF!</v>
      </c>
      <c r="O403" s="10" t="e">
        <f>'CSAT-AVH'!#REF!</f>
        <v>#REF!</v>
      </c>
    </row>
    <row r="404" spans="1:15" x14ac:dyDescent="0.3">
      <c r="A404" s="33" t="s">
        <v>119</v>
      </c>
      <c r="B404" s="10" t="str">
        <f>'CSAT-AVH'!H105</f>
        <v/>
      </c>
      <c r="C404" s="10" t="str">
        <f>'CSAT-AVH'!K105</f>
        <v/>
      </c>
      <c r="D404" s="10" t="str">
        <f>'CSAT-AVH'!N105</f>
        <v/>
      </c>
      <c r="E404" s="10" t="str">
        <f>'CSAT-AVH'!Q105</f>
        <v/>
      </c>
      <c r="F404" s="10" t="str">
        <f>'CSAT-AVH'!T105</f>
        <v/>
      </c>
      <c r="G404" s="10" t="str">
        <f>'CSAT-AVH'!W105</f>
        <v/>
      </c>
      <c r="H404" s="10" t="str">
        <f>'CSAT-AVH'!Z105</f>
        <v/>
      </c>
      <c r="I404" s="10" t="str">
        <f>'CSAT-AVH'!AC105</f>
        <v/>
      </c>
      <c r="J404" s="10">
        <f>'CSAT-AVH'!AF105</f>
        <v>0</v>
      </c>
      <c r="K404" s="10" t="str">
        <f>'CSAT-AVH'!AI105</f>
        <v/>
      </c>
      <c r="L404" s="10" t="str">
        <f>'CSAT-AVH'!AL105</f>
        <v/>
      </c>
      <c r="M404" s="10" t="str">
        <f>'CSAT-AVH'!AO105</f>
        <v/>
      </c>
      <c r="N404" s="10" t="e">
        <f>'CSAT-AVH'!#REF!</f>
        <v>#REF!</v>
      </c>
      <c r="O404" s="10" t="e">
        <f>'CSAT-AVH'!#REF!</f>
        <v>#REF!</v>
      </c>
    </row>
    <row r="405" spans="1:15" x14ac:dyDescent="0.3">
      <c r="A405" s="33" t="s">
        <v>121</v>
      </c>
      <c r="B405" s="10" t="str">
        <f>'CSAT-AVH'!H107</f>
        <v/>
      </c>
      <c r="C405" s="10" t="str">
        <f>'CSAT-AVH'!K107</f>
        <v/>
      </c>
      <c r="D405" s="10" t="str">
        <f>'CSAT-AVH'!N107</f>
        <v/>
      </c>
      <c r="E405" s="10" t="str">
        <f>'CSAT-AVH'!Q107</f>
        <v/>
      </c>
      <c r="F405" s="10" t="str">
        <f>'CSAT-AVH'!T107</f>
        <v/>
      </c>
      <c r="G405" s="10" t="str">
        <f>'CSAT-AVH'!W107</f>
        <v/>
      </c>
      <c r="H405" s="10" t="str">
        <f>'CSAT-AVH'!Z107</f>
        <v/>
      </c>
      <c r="I405" s="10" t="str">
        <f>'CSAT-AVH'!AC107</f>
        <v/>
      </c>
      <c r="J405" s="10">
        <f>'CSAT-AVH'!AF107</f>
        <v>0</v>
      </c>
      <c r="K405" s="10" t="str">
        <f>'CSAT-AVH'!AI107</f>
        <v/>
      </c>
      <c r="L405" s="10" t="str">
        <f>'CSAT-AVH'!AL107</f>
        <v/>
      </c>
      <c r="M405" s="10" t="str">
        <f>'CSAT-AVH'!AO107</f>
        <v/>
      </c>
      <c r="N405" s="10" t="e">
        <f>'CSAT-AVH'!#REF!</f>
        <v>#REF!</v>
      </c>
      <c r="O405" s="10" t="e">
        <f>'CSAT-AVH'!#REF!</f>
        <v>#REF!</v>
      </c>
    </row>
    <row r="406" spans="1:15" x14ac:dyDescent="0.3">
      <c r="A406" s="33" t="s">
        <v>122</v>
      </c>
      <c r="B406" s="10" t="str">
        <f>'CSAT-AVH'!H108</f>
        <v/>
      </c>
      <c r="C406" s="10" t="str">
        <f>'CSAT-AVH'!K108</f>
        <v/>
      </c>
      <c r="D406" s="10" t="str">
        <f>'CSAT-AVH'!N108</f>
        <v/>
      </c>
      <c r="E406" s="10" t="str">
        <f>'CSAT-AVH'!Q108</f>
        <v/>
      </c>
      <c r="F406" s="10" t="str">
        <f>'CSAT-AVH'!T108</f>
        <v/>
      </c>
      <c r="G406" s="10" t="str">
        <f>'CSAT-AVH'!W108</f>
        <v/>
      </c>
      <c r="H406" s="10" t="str">
        <f>'CSAT-AVH'!Z108</f>
        <v/>
      </c>
      <c r="I406" s="10" t="str">
        <f>'CSAT-AVH'!AC108</f>
        <v/>
      </c>
      <c r="J406" s="10">
        <f>'CSAT-AVH'!AF108</f>
        <v>1</v>
      </c>
      <c r="K406" s="10" t="str">
        <f>'CSAT-AVH'!AI108</f>
        <v/>
      </c>
      <c r="L406" s="10" t="str">
        <f>'CSAT-AVH'!AL108</f>
        <v/>
      </c>
      <c r="M406" s="10" t="str">
        <f>'CSAT-AVH'!AO108</f>
        <v/>
      </c>
      <c r="N406" s="10" t="e">
        <f>'CSAT-AVH'!#REF!</f>
        <v>#REF!</v>
      </c>
      <c r="O406" s="10" t="e">
        <f>'CSAT-AVH'!#REF!</f>
        <v>#REF!</v>
      </c>
    </row>
    <row r="407" spans="1:15" x14ac:dyDescent="0.3">
      <c r="A407" s="33" t="s">
        <v>123</v>
      </c>
      <c r="B407" s="10" t="str">
        <f>'CSAT-AVH'!H109</f>
        <v/>
      </c>
      <c r="C407" s="10" t="str">
        <f>'CSAT-AVH'!K109</f>
        <v/>
      </c>
      <c r="D407" s="10" t="str">
        <f>'CSAT-AVH'!N109</f>
        <v/>
      </c>
      <c r="E407" s="10" t="str">
        <f>'CSAT-AVH'!Q109</f>
        <v/>
      </c>
      <c r="F407" s="10" t="str">
        <f>'CSAT-AVH'!T109</f>
        <v/>
      </c>
      <c r="G407" s="10" t="str">
        <f>'CSAT-AVH'!W109</f>
        <v/>
      </c>
      <c r="H407" s="10" t="str">
        <f>'CSAT-AVH'!Z109</f>
        <v/>
      </c>
      <c r="I407" s="10" t="str">
        <f>'CSAT-AVH'!AC109</f>
        <v/>
      </c>
      <c r="J407" s="10">
        <f>'CSAT-AVH'!AF109</f>
        <v>0</v>
      </c>
      <c r="K407" s="10" t="str">
        <f>'CSAT-AVH'!AI109</f>
        <v/>
      </c>
      <c r="L407" s="10" t="str">
        <f>'CSAT-AVH'!AL109</f>
        <v/>
      </c>
      <c r="M407" s="10" t="str">
        <f>'CSAT-AVH'!AO109</f>
        <v/>
      </c>
      <c r="N407" s="10" t="e">
        <f>'CSAT-AVH'!#REF!</f>
        <v>#REF!</v>
      </c>
      <c r="O407" s="10" t="e">
        <f>'CSAT-AVH'!#REF!</f>
        <v>#REF!</v>
      </c>
    </row>
    <row r="410" spans="1:15" ht="18" x14ac:dyDescent="0.3">
      <c r="A410" s="40" t="s">
        <v>89</v>
      </c>
    </row>
    <row r="411" spans="1:15" x14ac:dyDescent="0.3">
      <c r="A411" s="32"/>
      <c r="B411" s="9">
        <f>Graphs!B$240</f>
        <v>45748</v>
      </c>
      <c r="C411" s="9">
        <f>Graphs!C$240</f>
        <v>45778</v>
      </c>
      <c r="D411" s="9">
        <f>Graphs!D$240</f>
        <v>45809</v>
      </c>
      <c r="E411" s="9">
        <f>Graphs!E$240</f>
        <v>45839</v>
      </c>
      <c r="F411" s="9">
        <f>Graphs!F$240</f>
        <v>45870</v>
      </c>
      <c r="G411" s="9">
        <f>Graphs!G$240</f>
        <v>45901</v>
      </c>
      <c r="H411" s="9">
        <f>Graphs!H$240</f>
        <v>45931</v>
      </c>
      <c r="I411" s="9">
        <f>Graphs!I$240</f>
        <v>45962</v>
      </c>
      <c r="J411" s="9">
        <f>Graphs!J$240</f>
        <v>45992</v>
      </c>
      <c r="K411" s="9">
        <f>Graphs!K$240</f>
        <v>46023</v>
      </c>
      <c r="L411" s="9">
        <f>Graphs!L$240</f>
        <v>46054</v>
      </c>
      <c r="M411" s="9">
        <f>Graphs!M$240</f>
        <v>46082</v>
      </c>
      <c r="N411" s="9">
        <f>Graphs!N$240</f>
        <v>46113</v>
      </c>
      <c r="O411" s="9">
        <f>Graphs!O$240</f>
        <v>46143</v>
      </c>
    </row>
    <row r="412" spans="1:15" ht="27.6" x14ac:dyDescent="0.3">
      <c r="A412" s="7" t="s">
        <v>89</v>
      </c>
      <c r="B412" s="4"/>
      <c r="C412" s="4"/>
      <c r="D412" s="4"/>
      <c r="E412" s="4"/>
      <c r="F412" s="4"/>
      <c r="G412" s="4"/>
      <c r="H412" s="4"/>
      <c r="I412" s="4"/>
      <c r="J412" s="4"/>
      <c r="K412" s="4"/>
      <c r="L412" s="4"/>
      <c r="M412" s="4"/>
      <c r="N412" s="4"/>
      <c r="O412" s="4"/>
    </row>
    <row r="413" spans="1:15" x14ac:dyDescent="0.3">
      <c r="A413" s="33" t="s">
        <v>120</v>
      </c>
      <c r="B413" s="3" t="str">
        <f>'CSAT-AVH'!H145</f>
        <v/>
      </c>
      <c r="C413" s="10" t="str">
        <f>'CSAT-AVH'!K145</f>
        <v/>
      </c>
      <c r="D413" s="10" t="str">
        <f>'CSAT-AVH'!N145</f>
        <v/>
      </c>
      <c r="E413" s="10" t="str">
        <f>'CSAT-AVH'!Q145</f>
        <v/>
      </c>
      <c r="F413" s="10" t="str">
        <f>'CSAT-AVH'!T145</f>
        <v/>
      </c>
      <c r="G413" s="10" t="str">
        <f>'CSAT-AVH'!W145</f>
        <v/>
      </c>
      <c r="H413" s="10" t="str">
        <f>'CSAT-AVH'!Z145</f>
        <v/>
      </c>
      <c r="I413" s="10" t="str">
        <f>'CSAT-AVH'!AC145</f>
        <v/>
      </c>
      <c r="J413" s="10">
        <f>'CSAT-AVH'!AF145</f>
        <v>0</v>
      </c>
      <c r="K413" s="10" t="str">
        <f>'CSAT-AVH'!AI145</f>
        <v/>
      </c>
      <c r="L413" s="10" t="str">
        <f>'CSAT-AVH'!AL145</f>
        <v/>
      </c>
      <c r="M413" s="10" t="str">
        <f>'CSAT-AVH'!AO145</f>
        <v/>
      </c>
      <c r="N413" s="10" t="e">
        <f>'CSAT-AVH'!#REF!</f>
        <v>#REF!</v>
      </c>
      <c r="O413" s="10" t="e">
        <f>'CSAT-AVH'!#REF!</f>
        <v>#REF!</v>
      </c>
    </row>
    <row r="414" spans="1:15" x14ac:dyDescent="0.3">
      <c r="A414" s="33" t="s">
        <v>119</v>
      </c>
      <c r="B414" s="3" t="str">
        <f>'CSAT-AVH'!H144</f>
        <v/>
      </c>
      <c r="C414" s="10" t="str">
        <f>'CSAT-AVH'!K144</f>
        <v/>
      </c>
      <c r="D414" s="10" t="str">
        <f>'CSAT-AVH'!N144</f>
        <v/>
      </c>
      <c r="E414" s="10" t="str">
        <f>'CSAT-AVH'!Q144</f>
        <v/>
      </c>
      <c r="F414" s="10" t="str">
        <f>'CSAT-AVH'!T144</f>
        <v/>
      </c>
      <c r="G414" s="10" t="str">
        <f>'CSAT-AVH'!W144</f>
        <v/>
      </c>
      <c r="H414" s="10" t="str">
        <f>'CSAT-AVH'!Z144</f>
        <v/>
      </c>
      <c r="I414" s="10" t="str">
        <f>'CSAT-AVH'!AC144</f>
        <v/>
      </c>
      <c r="J414" s="10">
        <f>'CSAT-AVH'!AF144</f>
        <v>0</v>
      </c>
      <c r="K414" s="10" t="str">
        <f>'CSAT-AVH'!AI144</f>
        <v/>
      </c>
      <c r="L414" s="10" t="str">
        <f>'CSAT-AVH'!AL144</f>
        <v/>
      </c>
      <c r="M414" s="10" t="str">
        <f>'CSAT-AVH'!AO144</f>
        <v/>
      </c>
      <c r="N414" s="10" t="e">
        <f>'CSAT-AVH'!#REF!</f>
        <v>#REF!</v>
      </c>
      <c r="O414" s="10" t="e">
        <f>'CSAT-AVH'!#REF!</f>
        <v>#REF!</v>
      </c>
    </row>
    <row r="415" spans="1:15" x14ac:dyDescent="0.3">
      <c r="A415" s="33" t="s">
        <v>121</v>
      </c>
      <c r="B415" s="3" t="str">
        <f>'CSAT-AVH'!H146</f>
        <v/>
      </c>
      <c r="C415" s="10" t="str">
        <f>'CSAT-AVH'!K146</f>
        <v/>
      </c>
      <c r="D415" s="10" t="str">
        <f>'CSAT-AVH'!N146</f>
        <v/>
      </c>
      <c r="E415" s="10" t="str">
        <f>'CSAT-AVH'!Q146</f>
        <v/>
      </c>
      <c r="F415" s="10" t="str">
        <f>'CSAT-AVH'!T146</f>
        <v/>
      </c>
      <c r="G415" s="10" t="str">
        <f>'CSAT-AVH'!W146</f>
        <v/>
      </c>
      <c r="H415" s="10" t="str">
        <f>'CSAT-AVH'!Z146</f>
        <v/>
      </c>
      <c r="I415" s="10" t="str">
        <f>'CSAT-AVH'!AC146</f>
        <v/>
      </c>
      <c r="J415" s="10">
        <f>'CSAT-AVH'!AF146</f>
        <v>1</v>
      </c>
      <c r="K415" s="10" t="str">
        <f>'CSAT-AVH'!AI146</f>
        <v/>
      </c>
      <c r="L415" s="10" t="str">
        <f>'CSAT-AVH'!AL146</f>
        <v/>
      </c>
      <c r="M415" s="10" t="str">
        <f>'CSAT-AVH'!AO146</f>
        <v/>
      </c>
      <c r="N415" s="10" t="e">
        <f>'CSAT-AVH'!#REF!</f>
        <v>#REF!</v>
      </c>
      <c r="O415" s="10" t="e">
        <f>'CSAT-AVH'!#REF!</f>
        <v>#REF!</v>
      </c>
    </row>
    <row r="416" spans="1:15" x14ac:dyDescent="0.3">
      <c r="A416" s="33" t="s">
        <v>122</v>
      </c>
      <c r="B416" s="3" t="str">
        <f>'CSAT-AVH'!H147</f>
        <v/>
      </c>
      <c r="C416" s="10" t="str">
        <f>'CSAT-AVH'!K147</f>
        <v/>
      </c>
      <c r="D416" s="10" t="str">
        <f>'CSAT-AVH'!N147</f>
        <v/>
      </c>
      <c r="E416" s="10" t="str">
        <f>'CSAT-AVH'!Q147</f>
        <v/>
      </c>
      <c r="F416" s="10" t="str">
        <f>'CSAT-AVH'!T147</f>
        <v/>
      </c>
      <c r="G416" s="10" t="str">
        <f>'CSAT-AVH'!W147</f>
        <v/>
      </c>
      <c r="H416" s="10" t="str">
        <f>'CSAT-AVH'!Z147</f>
        <v/>
      </c>
      <c r="I416" s="10" t="str">
        <f>'CSAT-AVH'!AC147</f>
        <v/>
      </c>
      <c r="J416" s="10">
        <f>'CSAT-AVH'!AF147</f>
        <v>0</v>
      </c>
      <c r="K416" s="10" t="str">
        <f>'CSAT-AVH'!AI147</f>
        <v/>
      </c>
      <c r="L416" s="10" t="str">
        <f>'CSAT-AVH'!AL147</f>
        <v/>
      </c>
      <c r="M416" s="10" t="str">
        <f>'CSAT-AVH'!AO147</f>
        <v/>
      </c>
      <c r="N416" s="10" t="e">
        <f>'CSAT-AVH'!#REF!</f>
        <v>#REF!</v>
      </c>
      <c r="O416" s="10" t="e">
        <f>'CSAT-AVH'!#REF!</f>
        <v>#REF!</v>
      </c>
    </row>
    <row r="417" spans="1:15" x14ac:dyDescent="0.3">
      <c r="A417" s="33" t="s">
        <v>123</v>
      </c>
      <c r="B417" s="3" t="str">
        <f>'CSAT-AVH'!H148</f>
        <v/>
      </c>
      <c r="C417" s="10" t="str">
        <f>'CSAT-AVH'!K148</f>
        <v/>
      </c>
      <c r="D417" s="10" t="str">
        <f>'CSAT-AVH'!N148</f>
        <v/>
      </c>
      <c r="E417" s="10" t="str">
        <f>'CSAT-AVH'!Q148</f>
        <v/>
      </c>
      <c r="F417" s="10" t="str">
        <f>'CSAT-AVH'!T148</f>
        <v/>
      </c>
      <c r="G417" s="10" t="str">
        <f>'CSAT-AVH'!W148</f>
        <v/>
      </c>
      <c r="H417" s="10" t="str">
        <f>'CSAT-AVH'!Z148</f>
        <v/>
      </c>
      <c r="I417" s="10" t="str">
        <f>'CSAT-AVH'!AC148</f>
        <v/>
      </c>
      <c r="J417" s="10">
        <f>'CSAT-AVH'!AF148</f>
        <v>0</v>
      </c>
      <c r="K417" s="10" t="str">
        <f>'CSAT-AVH'!AI148</f>
        <v/>
      </c>
      <c r="L417" s="10" t="str">
        <f>'CSAT-AVH'!AL148</f>
        <v/>
      </c>
      <c r="M417" s="10" t="str">
        <f>'CSAT-AVH'!AO148</f>
        <v/>
      </c>
      <c r="N417" s="10" t="e">
        <f>'CSAT-AVH'!#REF!</f>
        <v>#REF!</v>
      </c>
      <c r="O417" s="10" t="e">
        <f>'CSAT-AVH'!#REF!</f>
        <v>#REF!</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8"/>
  <dimension ref="A1:B12"/>
  <sheetViews>
    <sheetView workbookViewId="0">
      <selection activeCell="A12" sqref="A12"/>
    </sheetView>
  </sheetViews>
  <sheetFormatPr defaultRowHeight="14.4" x14ac:dyDescent="0.3"/>
  <sheetData>
    <row r="1" spans="1:2" x14ac:dyDescent="0.3">
      <c r="A1">
        <v>1</v>
      </c>
      <c r="B1" t="s">
        <v>94</v>
      </c>
    </row>
    <row r="2" spans="1:2" x14ac:dyDescent="0.3">
      <c r="A2">
        <v>2</v>
      </c>
      <c r="B2" t="s">
        <v>95</v>
      </c>
    </row>
    <row r="3" spans="1:2" x14ac:dyDescent="0.3">
      <c r="A3">
        <v>3</v>
      </c>
      <c r="B3" t="s">
        <v>96</v>
      </c>
    </row>
    <row r="4" spans="1:2" x14ac:dyDescent="0.3">
      <c r="A4">
        <v>4</v>
      </c>
      <c r="B4" t="s">
        <v>97</v>
      </c>
    </row>
    <row r="5" spans="1:2" x14ac:dyDescent="0.3">
      <c r="A5">
        <v>5</v>
      </c>
      <c r="B5" t="s">
        <v>98</v>
      </c>
    </row>
    <row r="6" spans="1:2" x14ac:dyDescent="0.3">
      <c r="A6">
        <v>6</v>
      </c>
      <c r="B6" t="s">
        <v>99</v>
      </c>
    </row>
    <row r="7" spans="1:2" x14ac:dyDescent="0.3">
      <c r="A7">
        <v>7</v>
      </c>
      <c r="B7" t="s">
        <v>100</v>
      </c>
    </row>
    <row r="8" spans="1:2" x14ac:dyDescent="0.3">
      <c r="A8">
        <v>8</v>
      </c>
      <c r="B8" t="s">
        <v>101</v>
      </c>
    </row>
    <row r="9" spans="1:2" x14ac:dyDescent="0.3">
      <c r="A9">
        <v>9</v>
      </c>
      <c r="B9" t="s">
        <v>102</v>
      </c>
    </row>
    <row r="10" spans="1:2" x14ac:dyDescent="0.3">
      <c r="A10">
        <v>10</v>
      </c>
      <c r="B10" t="s">
        <v>103</v>
      </c>
    </row>
    <row r="11" spans="1:2" x14ac:dyDescent="0.3">
      <c r="A11">
        <v>11</v>
      </c>
      <c r="B11" t="s">
        <v>104</v>
      </c>
    </row>
    <row r="12" spans="1:2" x14ac:dyDescent="0.3">
      <c r="A12">
        <v>12</v>
      </c>
      <c r="B12"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Data-SO</vt:lpstr>
      <vt:lpstr>Data-TSD+1</vt:lpstr>
      <vt:lpstr>Data-TED-1</vt:lpstr>
      <vt:lpstr>CSAT-AVH</vt:lpstr>
      <vt:lpstr>Graphs</vt:lpstr>
      <vt:lpstr>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1</dc:creator>
  <cp:lastModifiedBy>ChannaBasava H</cp:lastModifiedBy>
  <dcterms:created xsi:type="dcterms:W3CDTF">2015-12-17T04:45:09Z</dcterms:created>
  <dcterms:modified xsi:type="dcterms:W3CDTF">2026-04-24T06:59:58Z</dcterms:modified>
</cp:coreProperties>
</file>