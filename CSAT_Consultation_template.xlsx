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SAT NS EXCEL\"/>
    </mc:Choice>
  </mc:AlternateContent>
  <xr:revisionPtr revIDLastSave="0" documentId="13_ncr:1_{3ACD8ACB-9885-41B3-A97C-992895FB7A56}" xr6:coauthVersionLast="47" xr6:coauthVersionMax="47" xr10:uidLastSave="{00000000-0000-0000-0000-000000000000}"/>
  <bookViews>
    <workbookView xWindow="-108" yWindow="-108" windowWidth="23256" windowHeight="12456" tabRatio="821" activeTab="3" xr2:uid="{00000000-000D-0000-FFFF-FFFF00000000}"/>
  </bookViews>
  <sheets>
    <sheet name="Data-PP1" sheetId="5" r:id="rId1"/>
    <sheet name="C+8 Data" sheetId="2" r:id="rId2"/>
    <sheet name="C+8 Dashboard" sheetId="3" r:id="rId3"/>
    <sheet name="Graph" sheetId="23" r:id="rId4"/>
    <sheet name="Month" sheetId="4" r:id="rId5"/>
    <sheet name="SavedSearch" sheetId="24" r:id="rId6"/>
  </sheets>
  <definedNames>
    <definedName name="_xlnm._FilterDatabase" localSheetId="1" hidden="1">'C+8 Data'!$A$1:$AB$1</definedName>
    <definedName name="_xlnm._FilterDatabase" localSheetId="0" hidden="1">'Data-PP1'!$A$1:$AS$2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23" l="1"/>
  <c r="B199" i="23" s="1"/>
  <c r="C118" i="23"/>
  <c r="C211" i="23" s="1"/>
  <c r="L1" i="3"/>
  <c r="O1" i="3" s="1"/>
  <c r="R1" i="3" s="1"/>
  <c r="U1" i="3" s="1"/>
  <c r="X1" i="3" s="1"/>
  <c r="AA1" i="3" s="1"/>
  <c r="AD1" i="3" s="1"/>
  <c r="AG1" i="3" s="1"/>
  <c r="AJ1" i="3" s="1"/>
  <c r="AM1" i="3" s="1"/>
  <c r="I1" i="3"/>
  <c r="AB2" i="2"/>
  <c r="AS2" i="5"/>
  <c r="B192" i="23" l="1"/>
  <c r="C205" i="23"/>
  <c r="B123" i="23"/>
  <c r="B211" i="23"/>
  <c r="C142" i="23"/>
  <c r="C199" i="23"/>
  <c r="B142" i="23"/>
  <c r="B177" i="23"/>
  <c r="B205" i="23"/>
  <c r="C133" i="23"/>
  <c r="C166" i="23"/>
  <c r="B158" i="23"/>
  <c r="B184" i="23"/>
  <c r="C177" i="23"/>
  <c r="C123" i="23"/>
  <c r="C158" i="23"/>
  <c r="C192" i="23"/>
  <c r="B150" i="23"/>
  <c r="B133" i="23"/>
  <c r="B166" i="23"/>
  <c r="D118" i="23"/>
  <c r="C150" i="23"/>
  <c r="C184" i="23"/>
  <c r="F4" i="3"/>
  <c r="E118" i="23" l="1"/>
  <c r="D211" i="23"/>
  <c r="D184" i="23"/>
  <c r="D150" i="23"/>
  <c r="D177" i="23"/>
  <c r="D192" i="23"/>
  <c r="D158" i="23"/>
  <c r="D123" i="23"/>
  <c r="D142" i="23"/>
  <c r="D205" i="23"/>
  <c r="D199" i="23"/>
  <c r="D166" i="23"/>
  <c r="D133" i="23"/>
  <c r="F118" i="23" l="1"/>
  <c r="F119" i="23" s="1"/>
  <c r="E211" i="23"/>
  <c r="E177" i="23"/>
  <c r="E192" i="23"/>
  <c r="E158" i="23"/>
  <c r="E123" i="23"/>
  <c r="E205" i="23"/>
  <c r="E184" i="23"/>
  <c r="E150" i="23"/>
  <c r="E199" i="23"/>
  <c r="E166" i="23"/>
  <c r="E133" i="23"/>
  <c r="E142" i="23"/>
  <c r="E119" i="23"/>
  <c r="D119" i="23"/>
  <c r="B119" i="23"/>
  <c r="C119" i="23"/>
  <c r="G118" i="23" l="1"/>
  <c r="F211" i="23"/>
  <c r="F184" i="23"/>
  <c r="F150" i="23"/>
  <c r="F205" i="23"/>
  <c r="F166" i="23"/>
  <c r="F142" i="23"/>
  <c r="F192" i="23"/>
  <c r="F158" i="23"/>
  <c r="F123" i="23"/>
  <c r="F133" i="23"/>
  <c r="F177" i="23"/>
  <c r="F199" i="23"/>
  <c r="C68" i="3"/>
  <c r="C62" i="3"/>
  <c r="C56" i="3"/>
  <c r="C53" i="3"/>
  <c r="C50" i="3"/>
  <c r="C47" i="3"/>
  <c r="C48" i="3" s="1"/>
  <c r="C44" i="3"/>
  <c r="C45" i="3" s="1"/>
  <c r="C41" i="3"/>
  <c r="C42" i="3" s="1"/>
  <c r="C38" i="3"/>
  <c r="C34" i="3"/>
  <c r="C35" i="3" s="1"/>
  <c r="C28" i="3"/>
  <c r="C22" i="3"/>
  <c r="C16" i="3"/>
  <c r="C10" i="3"/>
  <c r="C4" i="3"/>
  <c r="C5" i="3" s="1"/>
  <c r="H118" i="23" l="1"/>
  <c r="G205" i="23"/>
  <c r="G177" i="23"/>
  <c r="G142" i="23"/>
  <c r="G192" i="23"/>
  <c r="G211" i="23"/>
  <c r="G184" i="23"/>
  <c r="G150" i="23"/>
  <c r="G158" i="23"/>
  <c r="G123" i="23"/>
  <c r="G199" i="23"/>
  <c r="G166" i="23"/>
  <c r="G133" i="23"/>
  <c r="G119" i="23"/>
  <c r="Y71" i="3"/>
  <c r="AH59" i="3"/>
  <c r="AB47" i="3"/>
  <c r="J47" i="3"/>
  <c r="AH45" i="3"/>
  <c r="V45" i="3"/>
  <c r="J45" i="3"/>
  <c r="Y41" i="3"/>
  <c r="G41" i="3"/>
  <c r="V31" i="3"/>
  <c r="AE25" i="3"/>
  <c r="M25" i="3"/>
  <c r="AE19" i="3"/>
  <c r="AK13" i="3"/>
  <c r="AK7" i="3"/>
  <c r="P59" i="3"/>
  <c r="S7" i="3"/>
  <c r="AH48" i="3"/>
  <c r="AK31" i="3"/>
  <c r="AE41" i="3"/>
  <c r="V71" i="3"/>
  <c r="AE65" i="3"/>
  <c r="M65" i="3"/>
  <c r="AE59" i="3"/>
  <c r="AK54" i="3"/>
  <c r="S54" i="3"/>
  <c r="AN48" i="3"/>
  <c r="AB48" i="3"/>
  <c r="P48" i="3"/>
  <c r="AH44" i="3"/>
  <c r="P44" i="3"/>
  <c r="AB34" i="3"/>
  <c r="J34" i="3"/>
  <c r="S31" i="3"/>
  <c r="AB19" i="3"/>
  <c r="AH13" i="3"/>
  <c r="AH7" i="3"/>
  <c r="P45" i="3"/>
  <c r="V25" i="3"/>
  <c r="J54" i="3"/>
  <c r="G44" i="3"/>
  <c r="AH47" i="3"/>
  <c r="S71" i="3"/>
  <c r="AB59" i="3"/>
  <c r="Y47" i="3"/>
  <c r="G47" i="3"/>
  <c r="AK42" i="3"/>
  <c r="Y42" i="3"/>
  <c r="M42" i="3"/>
  <c r="AN41" i="3"/>
  <c r="V41" i="3"/>
  <c r="P31" i="3"/>
  <c r="AB25" i="3"/>
  <c r="J25" i="3"/>
  <c r="Y19" i="3"/>
  <c r="AE13" i="3"/>
  <c r="AE7" i="3"/>
  <c r="AN71" i="3"/>
  <c r="S47" i="3"/>
  <c r="P41" i="3"/>
  <c r="S13" i="3"/>
  <c r="M59" i="3"/>
  <c r="P13" i="3"/>
  <c r="J59" i="3"/>
  <c r="P71" i="3"/>
  <c r="AB65" i="3"/>
  <c r="J65" i="3"/>
  <c r="Y59" i="3"/>
  <c r="AH54" i="3"/>
  <c r="P54" i="3"/>
  <c r="AE45" i="3"/>
  <c r="S45" i="3"/>
  <c r="G45" i="3"/>
  <c r="AE44" i="3"/>
  <c r="M44" i="3"/>
  <c r="Y34" i="3"/>
  <c r="G34" i="3"/>
  <c r="M31" i="3"/>
  <c r="V19" i="3"/>
  <c r="AB13" i="3"/>
  <c r="AB7" i="3"/>
  <c r="AK71" i="3"/>
  <c r="AN45" i="3"/>
  <c r="AN31" i="3"/>
  <c r="V48" i="3"/>
  <c r="J19" i="3"/>
  <c r="AE42" i="3"/>
  <c r="M71" i="3"/>
  <c r="V59" i="3"/>
  <c r="AK48" i="3"/>
  <c r="Y48" i="3"/>
  <c r="M48" i="3"/>
  <c r="AN47" i="3"/>
  <c r="V47" i="3"/>
  <c r="AK41" i="3"/>
  <c r="S41" i="3"/>
  <c r="J31" i="3"/>
  <c r="Y25" i="3"/>
  <c r="G25" i="3"/>
  <c r="S19" i="3"/>
  <c r="Y13" i="3"/>
  <c r="Y7" i="3"/>
  <c r="G71" i="3"/>
  <c r="AB45" i="3"/>
  <c r="J48" i="3"/>
  <c r="AK34" i="3"/>
  <c r="S42" i="3"/>
  <c r="J71" i="3"/>
  <c r="Y65" i="3"/>
  <c r="G65" i="3"/>
  <c r="S59" i="3"/>
  <c r="AE54" i="3"/>
  <c r="M54" i="3"/>
  <c r="AB44" i="3"/>
  <c r="J44" i="3"/>
  <c r="AH42" i="3"/>
  <c r="V42" i="3"/>
  <c r="J42" i="3"/>
  <c r="AN34" i="3"/>
  <c r="V34" i="3"/>
  <c r="G31" i="3"/>
  <c r="P19" i="3"/>
  <c r="V13" i="3"/>
  <c r="V7" i="3"/>
  <c r="AK47" i="3"/>
  <c r="AH41" i="3"/>
  <c r="AN25" i="3"/>
  <c r="M19" i="3"/>
  <c r="AN65" i="3"/>
  <c r="V65" i="3"/>
  <c r="AB54" i="3"/>
  <c r="Y44" i="3"/>
  <c r="S34" i="3"/>
  <c r="P7" i="3"/>
  <c r="P47" i="3"/>
  <c r="G42" i="3"/>
  <c r="AE71" i="3"/>
  <c r="AN59" i="3"/>
  <c r="AE48" i="3"/>
  <c r="S48" i="3"/>
  <c r="G48" i="3"/>
  <c r="AE47" i="3"/>
  <c r="M47" i="3"/>
  <c r="AB41" i="3"/>
  <c r="J41" i="3"/>
  <c r="AB31" i="3"/>
  <c r="AH25" i="3"/>
  <c r="P25" i="3"/>
  <c r="AK19" i="3"/>
  <c r="G13" i="3"/>
  <c r="G7" i="3"/>
  <c r="AB71" i="3"/>
  <c r="AH65" i="3"/>
  <c r="P65" i="3"/>
  <c r="AK59" i="3"/>
  <c r="AN54" i="3"/>
  <c r="V54" i="3"/>
  <c r="AK44" i="3"/>
  <c r="S44" i="3"/>
  <c r="AN42" i="3"/>
  <c r="AB42" i="3"/>
  <c r="Y54" i="3"/>
  <c r="AN44" i="3"/>
  <c r="AE31" i="3"/>
  <c r="AN19" i="3"/>
  <c r="J7" i="3"/>
  <c r="G54" i="3"/>
  <c r="V44" i="3"/>
  <c r="Y31" i="3"/>
  <c r="AH19" i="3"/>
  <c r="AH34" i="3"/>
  <c r="AE34" i="3"/>
  <c r="P34" i="3"/>
  <c r="AK25" i="3"/>
  <c r="G19" i="3"/>
  <c r="S25" i="3"/>
  <c r="M13" i="3"/>
  <c r="J13" i="3"/>
  <c r="AH71" i="3"/>
  <c r="AK65" i="3"/>
  <c r="AN13" i="3"/>
  <c r="Y45" i="3"/>
  <c r="P42" i="3"/>
  <c r="S65" i="3"/>
  <c r="AK45" i="3"/>
  <c r="M45" i="3"/>
  <c r="M34" i="3"/>
  <c r="AN7" i="3"/>
  <c r="G59" i="3"/>
  <c r="M41" i="3"/>
  <c r="AH31" i="3"/>
  <c r="M7" i="3"/>
  <c r="I118" i="23" l="1"/>
  <c r="H205" i="23"/>
  <c r="H177" i="23"/>
  <c r="H142" i="23"/>
  <c r="H211" i="23"/>
  <c r="H184" i="23"/>
  <c r="H150" i="23"/>
  <c r="H166" i="23"/>
  <c r="H192" i="23"/>
  <c r="H158" i="23"/>
  <c r="H123" i="23"/>
  <c r="H199" i="23"/>
  <c r="H133" i="23"/>
  <c r="H119" i="23"/>
  <c r="D47" i="3"/>
  <c r="E47" i="3" s="1"/>
  <c r="D54" i="3"/>
  <c r="D41" i="3"/>
  <c r="E41" i="3" s="1"/>
  <c r="D48" i="3"/>
  <c r="E48" i="3" s="1"/>
  <c r="D34" i="3"/>
  <c r="E34" i="3" s="1"/>
  <c r="D44" i="3"/>
  <c r="E44" i="3" s="1"/>
  <c r="D42" i="3"/>
  <c r="E42" i="3" s="1"/>
  <c r="D45" i="3"/>
  <c r="E45" i="3" s="1"/>
  <c r="J118" i="23" l="1"/>
  <c r="I199" i="23"/>
  <c r="I211" i="23"/>
  <c r="I184" i="23"/>
  <c r="I150" i="23"/>
  <c r="I133" i="23"/>
  <c r="I205" i="23"/>
  <c r="I166" i="23"/>
  <c r="I192" i="23"/>
  <c r="I158" i="23"/>
  <c r="I123" i="23"/>
  <c r="I177" i="23"/>
  <c r="I142" i="23"/>
  <c r="I119" i="23"/>
  <c r="AN35" i="3"/>
  <c r="AK35" i="3"/>
  <c r="AH35" i="3"/>
  <c r="AE35" i="3"/>
  <c r="AB35" i="3"/>
  <c r="Y35" i="3"/>
  <c r="V35" i="3"/>
  <c r="S35" i="3"/>
  <c r="P35" i="3"/>
  <c r="M35" i="3"/>
  <c r="J35" i="3"/>
  <c r="G35" i="3"/>
  <c r="K118" i="23" l="1"/>
  <c r="J205" i="23"/>
  <c r="J177" i="23"/>
  <c r="J142" i="23"/>
  <c r="J166" i="23"/>
  <c r="J158" i="23"/>
  <c r="J211" i="23"/>
  <c r="J184" i="23"/>
  <c r="J150" i="23"/>
  <c r="J133" i="23"/>
  <c r="J123" i="23"/>
  <c r="J199" i="23"/>
  <c r="J192" i="23"/>
  <c r="J119" i="23"/>
  <c r="I120" i="23"/>
  <c r="I121" i="23" s="1"/>
  <c r="E120" i="23"/>
  <c r="E121" i="23" s="1"/>
  <c r="H120" i="23"/>
  <c r="H121" i="23" s="1"/>
  <c r="D120" i="23"/>
  <c r="D121" i="23" s="1"/>
  <c r="F120" i="23"/>
  <c r="F121" i="23" s="1"/>
  <c r="K120" i="23"/>
  <c r="G120" i="23"/>
  <c r="G121" i="23" s="1"/>
  <c r="C120" i="23"/>
  <c r="C121" i="23" s="1"/>
  <c r="J120" i="23"/>
  <c r="B120" i="23"/>
  <c r="B121" i="23" s="1"/>
  <c r="D35" i="3"/>
  <c r="AE72" i="3"/>
  <c r="AE70" i="3"/>
  <c r="AE69" i="3"/>
  <c r="AJ68" i="3"/>
  <c r="AJ69" i="3" s="1"/>
  <c r="AD68" i="3"/>
  <c r="AD69" i="3" s="1"/>
  <c r="AE66" i="3"/>
  <c r="AE64" i="3"/>
  <c r="AE63" i="3"/>
  <c r="AJ62" i="3"/>
  <c r="AJ63" i="3" s="1"/>
  <c r="AJ64" i="3" s="1"/>
  <c r="AD62" i="3"/>
  <c r="AD63" i="3" s="1"/>
  <c r="AE60" i="3"/>
  <c r="AE58" i="3"/>
  <c r="AE57" i="3"/>
  <c r="AJ56" i="3"/>
  <c r="AJ57" i="3" s="1"/>
  <c r="AJ58" i="3" s="1"/>
  <c r="AD56" i="3"/>
  <c r="AD57" i="3" s="1"/>
  <c r="AJ53" i="3"/>
  <c r="AJ54" i="3" s="1"/>
  <c r="AL54" i="3" s="1"/>
  <c r="AD53" i="3"/>
  <c r="AD54" i="3" s="1"/>
  <c r="AF54" i="3" s="1"/>
  <c r="AE51" i="3"/>
  <c r="AJ50" i="3"/>
  <c r="AJ51" i="3" s="1"/>
  <c r="AD50" i="3"/>
  <c r="AD51" i="3" s="1"/>
  <c r="AJ47" i="3"/>
  <c r="AD47" i="3"/>
  <c r="AJ44" i="3"/>
  <c r="AD44" i="3"/>
  <c r="AJ41" i="3"/>
  <c r="AD41" i="3"/>
  <c r="AE39" i="3"/>
  <c r="AJ38" i="3"/>
  <c r="AJ39" i="3" s="1"/>
  <c r="AD38" i="3"/>
  <c r="AD39" i="3" s="1"/>
  <c r="AJ34" i="3"/>
  <c r="AD34" i="3"/>
  <c r="AE32" i="3"/>
  <c r="AE30" i="3"/>
  <c r="AE29" i="3"/>
  <c r="AJ28" i="3"/>
  <c r="AJ29" i="3" s="1"/>
  <c r="AJ30" i="3" s="1"/>
  <c r="AD28" i="3"/>
  <c r="AD29" i="3" s="1"/>
  <c r="AE26" i="3"/>
  <c r="AE24" i="3"/>
  <c r="AE23" i="3"/>
  <c r="AJ22" i="3"/>
  <c r="AJ23" i="3" s="1"/>
  <c r="AJ24" i="3" s="1"/>
  <c r="AD22" i="3"/>
  <c r="AD23" i="3" s="1"/>
  <c r="AE20" i="3"/>
  <c r="AE18" i="3"/>
  <c r="AE17" i="3"/>
  <c r="AJ16" i="3"/>
  <c r="AJ17" i="3" s="1"/>
  <c r="AJ18" i="3" s="1"/>
  <c r="AD16" i="3"/>
  <c r="AD17" i="3" s="1"/>
  <c r="AE14" i="3"/>
  <c r="AE12" i="3"/>
  <c r="AE11" i="3"/>
  <c r="AJ10" i="3"/>
  <c r="AD10" i="3"/>
  <c r="AD11" i="3" s="1"/>
  <c r="AE8" i="3"/>
  <c r="AE6" i="3"/>
  <c r="AE5" i="3"/>
  <c r="AK4" i="3"/>
  <c r="AE4" i="3"/>
  <c r="V72" i="3"/>
  <c r="V70" i="3"/>
  <c r="AN72" i="3"/>
  <c r="AN70" i="3"/>
  <c r="AN69" i="3"/>
  <c r="AN68" i="3"/>
  <c r="AH68" i="3"/>
  <c r="AN66" i="3"/>
  <c r="AN64" i="3"/>
  <c r="AN63" i="3"/>
  <c r="AN62" i="3"/>
  <c r="AH62" i="3"/>
  <c r="AN60" i="3"/>
  <c r="AN58" i="3"/>
  <c r="AN57" i="3"/>
  <c r="AN56" i="3"/>
  <c r="AH56" i="3"/>
  <c r="AN53" i="3"/>
  <c r="AH53" i="3"/>
  <c r="AN51" i="3"/>
  <c r="AN50" i="3"/>
  <c r="AH50" i="3"/>
  <c r="AN39" i="3"/>
  <c r="AN38" i="3"/>
  <c r="AH38" i="3"/>
  <c r="AK72" i="3"/>
  <c r="AK70" i="3"/>
  <c r="AK69" i="3"/>
  <c r="AM68" i="3"/>
  <c r="AG68" i="3"/>
  <c r="AG69" i="3" s="1"/>
  <c r="AG70" i="3" s="1"/>
  <c r="AK66" i="3"/>
  <c r="AK64" i="3"/>
  <c r="AK63" i="3"/>
  <c r="AM62" i="3"/>
  <c r="AM63" i="3" s="1"/>
  <c r="AG62" i="3"/>
  <c r="AG63" i="3" s="1"/>
  <c r="AG64" i="3" s="1"/>
  <c r="AK60" i="3"/>
  <c r="AK58" i="3"/>
  <c r="AK57" i="3"/>
  <c r="AM56" i="3"/>
  <c r="AM57" i="3" s="1"/>
  <c r="AG56" i="3"/>
  <c r="AG57" i="3" s="1"/>
  <c r="AG58" i="3" s="1"/>
  <c r="AM53" i="3"/>
  <c r="AM54" i="3" s="1"/>
  <c r="AO54" i="3" s="1"/>
  <c r="AG53" i="3"/>
  <c r="AG54" i="3" s="1"/>
  <c r="AI54" i="3" s="1"/>
  <c r="AK51" i="3"/>
  <c r="AM50" i="3"/>
  <c r="AG50" i="3"/>
  <c r="AG51" i="3" s="1"/>
  <c r="AM47" i="3"/>
  <c r="AG47" i="3"/>
  <c r="AM44" i="3"/>
  <c r="AG44" i="3"/>
  <c r="AM41" i="3"/>
  <c r="AG41" i="3"/>
  <c r="AK39" i="3"/>
  <c r="AM38" i="3"/>
  <c r="AM39" i="3" s="1"/>
  <c r="AG38" i="3"/>
  <c r="AG39" i="3" s="1"/>
  <c r="AH72" i="3"/>
  <c r="AH70" i="3"/>
  <c r="AH69" i="3"/>
  <c r="AK68" i="3"/>
  <c r="AE68" i="3"/>
  <c r="AH66" i="3"/>
  <c r="AH64" i="3"/>
  <c r="AH63" i="3"/>
  <c r="AK62" i="3"/>
  <c r="AE62" i="3"/>
  <c r="AH60" i="3"/>
  <c r="AH58" i="3"/>
  <c r="AH57" i="3"/>
  <c r="AK56" i="3"/>
  <c r="AE56" i="3"/>
  <c r="AK53" i="3"/>
  <c r="AE53" i="3"/>
  <c r="AH51" i="3"/>
  <c r="AK50" i="3"/>
  <c r="AE50" i="3"/>
  <c r="AH39" i="3"/>
  <c r="AK38" i="3"/>
  <c r="AE38" i="3"/>
  <c r="AM34" i="3"/>
  <c r="AK30" i="3"/>
  <c r="AH29" i="3"/>
  <c r="AH28" i="3"/>
  <c r="AK26" i="3"/>
  <c r="AN23" i="3"/>
  <c r="AM22" i="3"/>
  <c r="AM23" i="3" s="1"/>
  <c r="AE22" i="3"/>
  <c r="AK18" i="3"/>
  <c r="AH17" i="3"/>
  <c r="AH16" i="3"/>
  <c r="AK14" i="3"/>
  <c r="AN11" i="3"/>
  <c r="AM10" i="3"/>
  <c r="AM11" i="3" s="1"/>
  <c r="AE10" i="3"/>
  <c r="AK6" i="3"/>
  <c r="AH5" i="3"/>
  <c r="AJ4" i="3"/>
  <c r="AB72" i="3"/>
  <c r="S70" i="3"/>
  <c r="S69" i="3"/>
  <c r="X68" i="3"/>
  <c r="X69" i="3" s="1"/>
  <c r="X70" i="3" s="1"/>
  <c r="R68" i="3"/>
  <c r="R69" i="3" s="1"/>
  <c r="S66" i="3"/>
  <c r="S64" i="3"/>
  <c r="S63" i="3"/>
  <c r="X62" i="3"/>
  <c r="X63" i="3" s="1"/>
  <c r="X64" i="3" s="1"/>
  <c r="R62" i="3"/>
  <c r="R63" i="3" s="1"/>
  <c r="R64" i="3" s="1"/>
  <c r="S60" i="3"/>
  <c r="S58" i="3"/>
  <c r="S57" i="3"/>
  <c r="X56" i="3"/>
  <c r="X57" i="3" s="1"/>
  <c r="X58" i="3" s="1"/>
  <c r="R56" i="3"/>
  <c r="R57" i="3" s="1"/>
  <c r="X53" i="3"/>
  <c r="X54" i="3" s="1"/>
  <c r="Z54" i="3" s="1"/>
  <c r="R53" i="3"/>
  <c r="R54" i="3" s="1"/>
  <c r="T54" i="3" s="1"/>
  <c r="S51" i="3"/>
  <c r="X50" i="3"/>
  <c r="X51" i="3" s="1"/>
  <c r="R50" i="3"/>
  <c r="R51" i="3" s="1"/>
  <c r="X47" i="3"/>
  <c r="R47" i="3"/>
  <c r="X44" i="3"/>
  <c r="R44" i="3"/>
  <c r="X41" i="3"/>
  <c r="R41" i="3"/>
  <c r="S39" i="3"/>
  <c r="X38" i="3"/>
  <c r="X39" i="3" s="1"/>
  <c r="R38" i="3"/>
  <c r="R39" i="3" s="1"/>
  <c r="X34" i="3"/>
  <c r="R34" i="3"/>
  <c r="S32" i="3"/>
  <c r="S30" i="3"/>
  <c r="S29" i="3"/>
  <c r="X28" i="3"/>
  <c r="X29" i="3" s="1"/>
  <c r="X30" i="3" s="1"/>
  <c r="R28" i="3"/>
  <c r="R29" i="3" s="1"/>
  <c r="R30" i="3" s="1"/>
  <c r="S26" i="3"/>
  <c r="S24" i="3"/>
  <c r="S23" i="3"/>
  <c r="X22" i="3"/>
  <c r="X23" i="3" s="1"/>
  <c r="X24" i="3" s="1"/>
  <c r="R22" i="3"/>
  <c r="R23" i="3" s="1"/>
  <c r="R24" i="3" s="1"/>
  <c r="S20" i="3"/>
  <c r="S18" i="3"/>
  <c r="S17" i="3"/>
  <c r="X16" i="3"/>
  <c r="X17" i="3" s="1"/>
  <c r="X18" i="3" s="1"/>
  <c r="R16" i="3"/>
  <c r="R17" i="3" s="1"/>
  <c r="S14" i="3"/>
  <c r="S12" i="3"/>
  <c r="S11" i="3"/>
  <c r="X10" i="3"/>
  <c r="R10" i="3"/>
  <c r="R11" i="3" s="1"/>
  <c r="S8" i="3"/>
  <c r="S6" i="3"/>
  <c r="S5" i="3"/>
  <c r="X4" i="3"/>
  <c r="R4" i="3"/>
  <c r="P69" i="3"/>
  <c r="O62" i="3"/>
  <c r="O63" i="3" s="1"/>
  <c r="O64" i="3" s="1"/>
  <c r="P57" i="3"/>
  <c r="P53" i="3"/>
  <c r="O50" i="3"/>
  <c r="O51" i="3" s="1"/>
  <c r="O38" i="3"/>
  <c r="O39" i="3" s="1"/>
  <c r="P32" i="3"/>
  <c r="P28" i="3"/>
  <c r="P24" i="3"/>
  <c r="P20" i="3"/>
  <c r="P16" i="3"/>
  <c r="P12" i="3"/>
  <c r="P8" i="3"/>
  <c r="P4" i="3"/>
  <c r="M70" i="3"/>
  <c r="M66" i="3"/>
  <c r="M62" i="3"/>
  <c r="M58" i="3"/>
  <c r="M50" i="3"/>
  <c r="L47" i="3"/>
  <c r="M38" i="3"/>
  <c r="L34" i="3"/>
  <c r="M29" i="3"/>
  <c r="L22" i="3"/>
  <c r="L23" i="3" s="1"/>
  <c r="L24" i="3" s="1"/>
  <c r="M17" i="3"/>
  <c r="L10" i="3"/>
  <c r="M5" i="3"/>
  <c r="I68" i="3"/>
  <c r="I69" i="3" s="1"/>
  <c r="J63" i="3"/>
  <c r="I56" i="3"/>
  <c r="I57" i="3" s="1"/>
  <c r="I58" i="3" s="1"/>
  <c r="J51" i="3"/>
  <c r="I44" i="3"/>
  <c r="J39" i="3"/>
  <c r="J30" i="3"/>
  <c r="J26" i="3"/>
  <c r="J22" i="3"/>
  <c r="J18" i="3"/>
  <c r="J14" i="3"/>
  <c r="J10" i="3"/>
  <c r="J6" i="3"/>
  <c r="G72" i="3"/>
  <c r="G68" i="3"/>
  <c r="G64" i="3"/>
  <c r="G60" i="3"/>
  <c r="G56" i="3"/>
  <c r="F53" i="3"/>
  <c r="F41" i="3"/>
  <c r="F34" i="3"/>
  <c r="F22" i="3"/>
  <c r="F28" i="3"/>
  <c r="G23" i="3"/>
  <c r="G18" i="3"/>
  <c r="G8" i="3"/>
  <c r="G4" i="3"/>
  <c r="AB32" i="3"/>
  <c r="AB30" i="3"/>
  <c r="AB29" i="3"/>
  <c r="AB28" i="3"/>
  <c r="V28" i="3"/>
  <c r="AB26" i="3"/>
  <c r="AN32" i="3"/>
  <c r="AH30" i="3"/>
  <c r="AN28" i="3"/>
  <c r="AG28" i="3"/>
  <c r="AG29" i="3" s="1"/>
  <c r="AG30" i="3" s="1"/>
  <c r="AH26" i="3"/>
  <c r="AN24" i="3"/>
  <c r="AK23" i="3"/>
  <c r="AK22" i="3"/>
  <c r="AN20" i="3"/>
  <c r="AH18" i="3"/>
  <c r="AN16" i="3"/>
  <c r="AG16" i="3"/>
  <c r="AG17" i="3" s="1"/>
  <c r="AG18" i="3" s="1"/>
  <c r="AH14" i="3"/>
  <c r="AN12" i="3"/>
  <c r="AK11" i="3"/>
  <c r="AK10" i="3"/>
  <c r="AN8" i="3"/>
  <c r="AH6" i="3"/>
  <c r="AH4" i="3"/>
  <c r="Y72" i="3"/>
  <c r="AB69" i="3"/>
  <c r="AB68" i="3"/>
  <c r="V68" i="3"/>
  <c r="AB66" i="3"/>
  <c r="AB64" i="3"/>
  <c r="AB63" i="3"/>
  <c r="AB62" i="3"/>
  <c r="V62" i="3"/>
  <c r="AB60" i="3"/>
  <c r="AB58" i="3"/>
  <c r="AB57" i="3"/>
  <c r="AB56" i="3"/>
  <c r="V56" i="3"/>
  <c r="AB53" i="3"/>
  <c r="V53" i="3"/>
  <c r="AB51" i="3"/>
  <c r="AB50" i="3"/>
  <c r="V50" i="3"/>
  <c r="AB39" i="3"/>
  <c r="AB38" i="3"/>
  <c r="V38" i="3"/>
  <c r="AK32" i="3"/>
  <c r="AN29" i="3"/>
  <c r="AM28" i="3"/>
  <c r="AE28" i="3"/>
  <c r="AK24" i="3"/>
  <c r="AH23" i="3"/>
  <c r="AH22" i="3"/>
  <c r="AK20" i="3"/>
  <c r="AN17" i="3"/>
  <c r="AM16" i="3"/>
  <c r="AM17" i="3" s="1"/>
  <c r="AE16" i="3"/>
  <c r="AK12" i="3"/>
  <c r="AH11" i="3"/>
  <c r="AH10" i="3"/>
  <c r="AK8" i="3"/>
  <c r="AN5" i="3"/>
  <c r="AN4" i="3"/>
  <c r="AG4" i="3"/>
  <c r="S72" i="3"/>
  <c r="AB70" i="3"/>
  <c r="Y69" i="3"/>
  <c r="AA68" i="3"/>
  <c r="U68" i="3"/>
  <c r="U69" i="3" s="1"/>
  <c r="U70" i="3" s="1"/>
  <c r="Y66" i="3"/>
  <c r="Y64" i="3"/>
  <c r="Y63" i="3"/>
  <c r="AA62" i="3"/>
  <c r="U62" i="3"/>
  <c r="U63" i="3" s="1"/>
  <c r="U64" i="3" s="1"/>
  <c r="Y60" i="3"/>
  <c r="Y58" i="3"/>
  <c r="Y57" i="3"/>
  <c r="AA56" i="3"/>
  <c r="AA57" i="3" s="1"/>
  <c r="U56" i="3"/>
  <c r="U57" i="3" s="1"/>
  <c r="U58" i="3" s="1"/>
  <c r="AA53" i="3"/>
  <c r="AA54" i="3" s="1"/>
  <c r="AC54" i="3" s="1"/>
  <c r="U53" i="3"/>
  <c r="U54" i="3" s="1"/>
  <c r="W54" i="3" s="1"/>
  <c r="Y51" i="3"/>
  <c r="AA50" i="3"/>
  <c r="U50" i="3"/>
  <c r="U51" i="3" s="1"/>
  <c r="AA47" i="3"/>
  <c r="U47" i="3"/>
  <c r="AA44" i="3"/>
  <c r="U44" i="3"/>
  <c r="AA41" i="3"/>
  <c r="U41" i="3"/>
  <c r="Y39" i="3"/>
  <c r="AA38" i="3"/>
  <c r="U38" i="3"/>
  <c r="U39" i="3" s="1"/>
  <c r="AG34" i="3"/>
  <c r="AH32" i="3"/>
  <c r="AN30" i="3"/>
  <c r="AK29" i="3"/>
  <c r="AK28" i="3"/>
  <c r="AN26" i="3"/>
  <c r="AH24" i="3"/>
  <c r="AN22" i="3"/>
  <c r="AG22" i="3"/>
  <c r="AG23" i="3" s="1"/>
  <c r="AH20" i="3"/>
  <c r="AN18" i="3"/>
  <c r="AK17" i="3"/>
  <c r="AK16" i="3"/>
  <c r="AN14" i="3"/>
  <c r="AH12" i="3"/>
  <c r="AN10" i="3"/>
  <c r="AG10" i="3"/>
  <c r="AH8" i="3"/>
  <c r="AN6" i="3"/>
  <c r="AK5" i="3"/>
  <c r="AM4" i="3"/>
  <c r="AD4" i="3"/>
  <c r="Y70" i="3"/>
  <c r="V69" i="3"/>
  <c r="Y68" i="3"/>
  <c r="S68" i="3"/>
  <c r="V66" i="3"/>
  <c r="V64" i="3"/>
  <c r="V63" i="3"/>
  <c r="Y62" i="3"/>
  <c r="S62" i="3"/>
  <c r="V60" i="3"/>
  <c r="V58" i="3"/>
  <c r="V57" i="3"/>
  <c r="Y56" i="3"/>
  <c r="S56" i="3"/>
  <c r="Y53" i="3"/>
  <c r="S53" i="3"/>
  <c r="V51" i="3"/>
  <c r="Y50" i="3"/>
  <c r="S50" i="3"/>
  <c r="V39" i="3"/>
  <c r="Y38" i="3"/>
  <c r="S38" i="3"/>
  <c r="V32" i="3"/>
  <c r="V30" i="3"/>
  <c r="Y28" i="3"/>
  <c r="V26" i="3"/>
  <c r="AB24" i="3"/>
  <c r="Y23" i="3"/>
  <c r="Y22" i="3"/>
  <c r="AB20" i="3"/>
  <c r="V18" i="3"/>
  <c r="AB16" i="3"/>
  <c r="U16" i="3"/>
  <c r="U17" i="3" s="1"/>
  <c r="U18" i="3" s="1"/>
  <c r="V14" i="3"/>
  <c r="AB12" i="3"/>
  <c r="Y11" i="3"/>
  <c r="Y10" i="3"/>
  <c r="AB8" i="3"/>
  <c r="V6" i="3"/>
  <c r="AB4" i="3"/>
  <c r="U4" i="3"/>
  <c r="P70" i="3"/>
  <c r="P64" i="3"/>
  <c r="O44" i="3"/>
  <c r="P38" i="3"/>
  <c r="P26" i="3"/>
  <c r="O22" i="3"/>
  <c r="O23" i="3" s="1"/>
  <c r="O24" i="3" s="1"/>
  <c r="O16" i="3"/>
  <c r="O17" i="3" s="1"/>
  <c r="O18" i="3" s="1"/>
  <c r="O19" i="3" s="1"/>
  <c r="P10" i="3"/>
  <c r="P5" i="3"/>
  <c r="M69" i="3"/>
  <c r="M64" i="3"/>
  <c r="M53" i="3"/>
  <c r="L44" i="3"/>
  <c r="L38" i="3"/>
  <c r="L39" i="3" s="1"/>
  <c r="M26" i="3"/>
  <c r="M20" i="3"/>
  <c r="L16" i="3"/>
  <c r="L17" i="3" s="1"/>
  <c r="M10" i="3"/>
  <c r="M4" i="3"/>
  <c r="J69" i="3"/>
  <c r="J64" i="3"/>
  <c r="J58" i="3"/>
  <c r="J53" i="3"/>
  <c r="I38" i="3"/>
  <c r="I39" i="3" s="1"/>
  <c r="J20" i="3"/>
  <c r="I16" i="3"/>
  <c r="I17" i="3" s="1"/>
  <c r="I18" i="3" s="1"/>
  <c r="I19" i="3" s="1"/>
  <c r="I10" i="3"/>
  <c r="J4" i="3"/>
  <c r="G69" i="3"/>
  <c r="G63" i="3"/>
  <c r="G58" i="3"/>
  <c r="G53" i="3"/>
  <c r="F38" i="3"/>
  <c r="G30" i="3"/>
  <c r="F10" i="3"/>
  <c r="G24" i="3"/>
  <c r="G17" i="3"/>
  <c r="G11" i="3"/>
  <c r="G5" i="3"/>
  <c r="P30" i="3"/>
  <c r="P14" i="3"/>
  <c r="O10" i="3"/>
  <c r="O4" i="3"/>
  <c r="M68" i="3"/>
  <c r="M63" i="3"/>
  <c r="M57" i="3"/>
  <c r="L53" i="3"/>
  <c r="U34" i="3"/>
  <c r="Y29" i="3"/>
  <c r="U28" i="3"/>
  <c r="U29" i="3" s="1"/>
  <c r="U30" i="3" s="1"/>
  <c r="Y24" i="3"/>
  <c r="V23" i="3"/>
  <c r="V22" i="3"/>
  <c r="Y20" i="3"/>
  <c r="AB17" i="3"/>
  <c r="AA16" i="3"/>
  <c r="S16" i="3"/>
  <c r="Y12" i="3"/>
  <c r="V11" i="3"/>
  <c r="V10" i="3"/>
  <c r="Y8" i="3"/>
  <c r="AB5" i="3"/>
  <c r="AA4" i="3"/>
  <c r="S4" i="3"/>
  <c r="P68" i="3"/>
  <c r="P63" i="3"/>
  <c r="P58" i="3"/>
  <c r="O53" i="3"/>
  <c r="O54" i="3" s="1"/>
  <c r="Q54" i="3" s="1"/>
  <c r="V29" i="3"/>
  <c r="S28" i="3"/>
  <c r="V24" i="3"/>
  <c r="AB22" i="3"/>
  <c r="U22" i="3"/>
  <c r="U23" i="3" s="1"/>
  <c r="U24" i="3" s="1"/>
  <c r="V20" i="3"/>
  <c r="AB18" i="3"/>
  <c r="Y17" i="3"/>
  <c r="Y16" i="3"/>
  <c r="AB14" i="3"/>
  <c r="V12" i="3"/>
  <c r="AB10" i="3"/>
  <c r="U10" i="3"/>
  <c r="V8" i="3"/>
  <c r="AB6" i="3"/>
  <c r="Y5" i="3"/>
  <c r="Y4" i="3"/>
  <c r="P72" i="3"/>
  <c r="O68" i="3"/>
  <c r="O69" i="3" s="1"/>
  <c r="P62" i="3"/>
  <c r="P56" i="3"/>
  <c r="P51" i="3"/>
  <c r="O47" i="3"/>
  <c r="O41" i="3"/>
  <c r="P29" i="3"/>
  <c r="P23" i="3"/>
  <c r="P18" i="3"/>
  <c r="M72" i="3"/>
  <c r="L68" i="3"/>
  <c r="L62" i="3"/>
  <c r="L63" i="3" s="1"/>
  <c r="M56" i="3"/>
  <c r="M51" i="3"/>
  <c r="L41" i="3"/>
  <c r="M28" i="3"/>
  <c r="M23" i="3"/>
  <c r="M18" i="3"/>
  <c r="M12" i="3"/>
  <c r="J72" i="3"/>
  <c r="J66" i="3"/>
  <c r="I62" i="3"/>
  <c r="I63" i="3" s="1"/>
  <c r="J56" i="3"/>
  <c r="J50" i="3"/>
  <c r="I41" i="3"/>
  <c r="I34" i="3"/>
  <c r="J28" i="3"/>
  <c r="J23" i="3"/>
  <c r="J17" i="3"/>
  <c r="J12" i="3"/>
  <c r="F62" i="3"/>
  <c r="F56" i="3"/>
  <c r="G50" i="3"/>
  <c r="G39" i="3"/>
  <c r="G28" i="3"/>
  <c r="G26" i="3"/>
  <c r="G20" i="3"/>
  <c r="G14" i="3"/>
  <c r="M30" i="3"/>
  <c r="M14" i="3"/>
  <c r="L4" i="3"/>
  <c r="J62" i="3"/>
  <c r="I53" i="3"/>
  <c r="I54" i="3" s="1"/>
  <c r="K54" i="3" s="1"/>
  <c r="J29" i="3"/>
  <c r="J24" i="3"/>
  <c r="J8" i="3"/>
  <c r="AA34" i="3"/>
  <c r="Y32" i="3"/>
  <c r="Y30" i="3"/>
  <c r="AA28" i="3"/>
  <c r="Y26" i="3"/>
  <c r="AB23" i="3"/>
  <c r="AA22" i="3"/>
  <c r="S22" i="3"/>
  <c r="Y18" i="3"/>
  <c r="V17" i="3"/>
  <c r="V16" i="3"/>
  <c r="Y14" i="3"/>
  <c r="AB11" i="3"/>
  <c r="AA10" i="3"/>
  <c r="S10" i="3"/>
  <c r="Y6" i="3"/>
  <c r="V5" i="3"/>
  <c r="V4" i="3"/>
  <c r="P66" i="3"/>
  <c r="P60" i="3"/>
  <c r="O56" i="3"/>
  <c r="P50" i="3"/>
  <c r="P39" i="3"/>
  <c r="O34" i="3"/>
  <c r="O28" i="3"/>
  <c r="O29" i="3" s="1"/>
  <c r="P22" i="3"/>
  <c r="P17" i="3"/>
  <c r="P11" i="3"/>
  <c r="P6" i="3"/>
  <c r="M60" i="3"/>
  <c r="L56" i="3"/>
  <c r="L57" i="3" s="1"/>
  <c r="L58" i="3" s="1"/>
  <c r="L50" i="3"/>
  <c r="L51" i="3" s="1"/>
  <c r="M39" i="3"/>
  <c r="M32" i="3"/>
  <c r="L28" i="3"/>
  <c r="L29" i="3" s="1"/>
  <c r="M22" i="3"/>
  <c r="M16" i="3"/>
  <c r="M11" i="3"/>
  <c r="M6" i="3"/>
  <c r="J70" i="3"/>
  <c r="J60" i="3"/>
  <c r="I50" i="3"/>
  <c r="I51" i="3" s="1"/>
  <c r="J38" i="3"/>
  <c r="J32" i="3"/>
  <c r="I28" i="3"/>
  <c r="I29" i="3" s="1"/>
  <c r="I22" i="3"/>
  <c r="I23" i="3" s="1"/>
  <c r="J16" i="3"/>
  <c r="J11" i="3"/>
  <c r="J5" i="3"/>
  <c r="G70" i="3"/>
  <c r="G66" i="3"/>
  <c r="F50" i="3"/>
  <c r="F44" i="3"/>
  <c r="G38" i="3"/>
  <c r="G32" i="3"/>
  <c r="F16" i="3"/>
  <c r="G12" i="3"/>
  <c r="G6" i="3"/>
  <c r="M24" i="3"/>
  <c r="M8" i="3"/>
  <c r="J68" i="3"/>
  <c r="J57" i="3"/>
  <c r="I47" i="3"/>
  <c r="F47" i="3"/>
  <c r="F68" i="3"/>
  <c r="G10" i="3"/>
  <c r="G29" i="3"/>
  <c r="G51" i="3"/>
  <c r="I4" i="3"/>
  <c r="G57" i="3"/>
  <c r="G16" i="3"/>
  <c r="G22" i="3"/>
  <c r="G62" i="3"/>
  <c r="AM51" i="3"/>
  <c r="AO51" i="3" s="1"/>
  <c r="J121" i="23" l="1"/>
  <c r="L118" i="23"/>
  <c r="K199" i="23"/>
  <c r="K166" i="23"/>
  <c r="K133" i="23"/>
  <c r="K192" i="23"/>
  <c r="K158" i="23"/>
  <c r="K205" i="23"/>
  <c r="K177" i="23"/>
  <c r="K142" i="23"/>
  <c r="K184" i="23"/>
  <c r="K123" i="23"/>
  <c r="K150" i="23"/>
  <c r="K211" i="23"/>
  <c r="K119" i="23"/>
  <c r="K121" i="23" s="1"/>
  <c r="D4" i="3"/>
  <c r="AL69" i="3"/>
  <c r="AL68" i="3"/>
  <c r="AJ70" i="3"/>
  <c r="AL63" i="3"/>
  <c r="AL39" i="3"/>
  <c r="Q39" i="3"/>
  <c r="E179" i="23" s="1"/>
  <c r="AL51" i="3"/>
  <c r="L207" i="23" s="1"/>
  <c r="K68" i="3"/>
  <c r="C136" i="23" s="1"/>
  <c r="AI56" i="3"/>
  <c r="K214" i="23" s="1"/>
  <c r="AL53" i="3"/>
  <c r="AL38" i="3"/>
  <c r="L180" i="23" s="1"/>
  <c r="AI50" i="3"/>
  <c r="K208" i="23" s="1"/>
  <c r="AO50" i="3"/>
  <c r="M208" i="23" s="1"/>
  <c r="T38" i="3"/>
  <c r="F180" i="23" s="1"/>
  <c r="AO22" i="3"/>
  <c r="T22" i="3"/>
  <c r="Z63" i="3"/>
  <c r="H125" i="23" s="1"/>
  <c r="AL23" i="3"/>
  <c r="Z62" i="3"/>
  <c r="H126" i="23" s="1"/>
  <c r="AI57" i="3"/>
  <c r="K213" i="23" s="1"/>
  <c r="AC28" i="3"/>
  <c r="Q62" i="3"/>
  <c r="E126" i="23" s="1"/>
  <c r="Q38" i="3"/>
  <c r="E180" i="23" s="1"/>
  <c r="Z10" i="3"/>
  <c r="H161" i="23" s="1"/>
  <c r="T62" i="3"/>
  <c r="F126" i="23" s="1"/>
  <c r="T57" i="3"/>
  <c r="F213" i="23" s="1"/>
  <c r="Z69" i="3"/>
  <c r="H135" i="23" s="1"/>
  <c r="AL29" i="3"/>
  <c r="Z68" i="3"/>
  <c r="H136" i="23" s="1"/>
  <c r="AC56" i="3"/>
  <c r="I214" i="23" s="1"/>
  <c r="W62" i="3"/>
  <c r="G126" i="23" s="1"/>
  <c r="W69" i="3"/>
  <c r="G135" i="23" s="1"/>
  <c r="AI62" i="3"/>
  <c r="K126" i="23" s="1"/>
  <c r="N22" i="3"/>
  <c r="Z22" i="3"/>
  <c r="AC38" i="3"/>
  <c r="I188" i="23" s="1"/>
  <c r="W68" i="3"/>
  <c r="G136" i="23" s="1"/>
  <c r="N23" i="3"/>
  <c r="Z23" i="3"/>
  <c r="AL50" i="3"/>
  <c r="L208" i="23" s="1"/>
  <c r="T28" i="3"/>
  <c r="T50" i="3"/>
  <c r="F208" i="23" s="1"/>
  <c r="AL28" i="3"/>
  <c r="AF10" i="3"/>
  <c r="J161" i="23" s="1"/>
  <c r="K51" i="3"/>
  <c r="C207" i="23" s="1"/>
  <c r="AI63" i="3"/>
  <c r="K125" i="23" s="1"/>
  <c r="W57" i="3"/>
  <c r="G213" i="23" s="1"/>
  <c r="Q51" i="3"/>
  <c r="E207" i="23" s="1"/>
  <c r="N29" i="3"/>
  <c r="AL57" i="3"/>
  <c r="L213" i="23" s="1"/>
  <c r="AI68" i="3"/>
  <c r="AI69" i="3"/>
  <c r="K135" i="23" s="1"/>
  <c r="W50" i="3"/>
  <c r="AL56" i="3"/>
  <c r="L214" i="23" s="1"/>
  <c r="AO53" i="3"/>
  <c r="N10" i="3"/>
  <c r="D161" i="23" s="1"/>
  <c r="R58" i="3"/>
  <c r="T58" i="3" s="1"/>
  <c r="AI38" i="3"/>
  <c r="AL10" i="3"/>
  <c r="AL62" i="3"/>
  <c r="AO62" i="3"/>
  <c r="Z51" i="3"/>
  <c r="H207" i="23" s="1"/>
  <c r="Z28" i="3"/>
  <c r="Z29" i="3"/>
  <c r="Z50" i="3"/>
  <c r="T10" i="3"/>
  <c r="AO68" i="3"/>
  <c r="M136" i="23" s="1"/>
  <c r="M207" i="23"/>
  <c r="L125" i="23"/>
  <c r="L136" i="23"/>
  <c r="L135" i="23"/>
  <c r="L179" i="23"/>
  <c r="Z17" i="3"/>
  <c r="AI17" i="3"/>
  <c r="AL16" i="3"/>
  <c r="AL17" i="3"/>
  <c r="AI23" i="3"/>
  <c r="W64" i="3"/>
  <c r="U65" i="3"/>
  <c r="T24" i="3"/>
  <c r="R25" i="3"/>
  <c r="W34" i="3"/>
  <c r="U35" i="3"/>
  <c r="W35" i="3" s="1"/>
  <c r="D24" i="3"/>
  <c r="W4" i="3"/>
  <c r="G153" i="23" s="1"/>
  <c r="U5" i="3"/>
  <c r="U6" i="3" s="1"/>
  <c r="D64" i="3"/>
  <c r="AM42" i="3"/>
  <c r="AO42" i="3" s="1"/>
  <c r="AO41" i="3"/>
  <c r="AD48" i="3"/>
  <c r="AF48" i="3" s="1"/>
  <c r="AF47" i="3"/>
  <c r="L5" i="3"/>
  <c r="N5" i="3" s="1"/>
  <c r="N4" i="3"/>
  <c r="AG65" i="3"/>
  <c r="AI64" i="3"/>
  <c r="E4" i="3"/>
  <c r="T41" i="3"/>
  <c r="R42" i="3"/>
  <c r="T42" i="3" s="1"/>
  <c r="AI44" i="3"/>
  <c r="AG45" i="3"/>
  <c r="AI45" i="3" s="1"/>
  <c r="AJ48" i="3"/>
  <c r="AL48" i="3" s="1"/>
  <c r="AL47" i="3"/>
  <c r="Q34" i="3"/>
  <c r="O35" i="3"/>
  <c r="Q35" i="3" s="1"/>
  <c r="AG35" i="3"/>
  <c r="AI35" i="3" s="1"/>
  <c r="AI34" i="3"/>
  <c r="X42" i="3"/>
  <c r="Z42" i="3" s="1"/>
  <c r="Z41" i="3"/>
  <c r="AO44" i="3"/>
  <c r="AM45" i="3"/>
  <c r="AO45" i="3" s="1"/>
  <c r="AJ65" i="3"/>
  <c r="AL64" i="3"/>
  <c r="K4" i="3"/>
  <c r="I5" i="3"/>
  <c r="I6" i="3" s="1"/>
  <c r="R45" i="3"/>
  <c r="T45" i="3" s="1"/>
  <c r="T44" i="3"/>
  <c r="AJ5" i="3"/>
  <c r="AJ6" i="3" s="1"/>
  <c r="AL4" i="3"/>
  <c r="L153" i="23" s="1"/>
  <c r="AI47" i="3"/>
  <c r="AG48" i="3"/>
  <c r="AI48" i="3" s="1"/>
  <c r="AD35" i="3"/>
  <c r="AF35" i="3" s="1"/>
  <c r="AF34" i="3"/>
  <c r="T64" i="3"/>
  <c r="R65" i="3"/>
  <c r="L25" i="3"/>
  <c r="N24" i="3"/>
  <c r="O65" i="3"/>
  <c r="Q64" i="3"/>
  <c r="Z24" i="3"/>
  <c r="X25" i="3"/>
  <c r="O42" i="3"/>
  <c r="Q42" i="3" s="1"/>
  <c r="Q41" i="3"/>
  <c r="Z44" i="3"/>
  <c r="X45" i="3"/>
  <c r="Z45" i="3" s="1"/>
  <c r="AM48" i="3"/>
  <c r="AO48" i="3" s="1"/>
  <c r="AO47" i="3"/>
  <c r="AJ35" i="3"/>
  <c r="AL35" i="3" s="1"/>
  <c r="AL34" i="3"/>
  <c r="O48" i="3"/>
  <c r="Q48" i="3" s="1"/>
  <c r="Q47" i="3"/>
  <c r="O5" i="3"/>
  <c r="O6" i="3" s="1"/>
  <c r="Q6" i="3" s="1"/>
  <c r="Q4" i="3"/>
  <c r="E153" i="23" s="1"/>
  <c r="AD5" i="3"/>
  <c r="AD6" i="3" s="1"/>
  <c r="AF4" i="3"/>
  <c r="J153" i="23" s="1"/>
  <c r="T47" i="3"/>
  <c r="R48" i="3"/>
  <c r="T48" i="3" s="1"/>
  <c r="Q24" i="3"/>
  <c r="O25" i="3"/>
  <c r="AO4" i="3"/>
  <c r="M153" i="23" s="1"/>
  <c r="AM5" i="3"/>
  <c r="W41" i="3"/>
  <c r="U42" i="3"/>
  <c r="W42" i="3" s="1"/>
  <c r="Z47" i="3"/>
  <c r="X48" i="3"/>
  <c r="Z48" i="3" s="1"/>
  <c r="AJ25" i="3"/>
  <c r="AL24" i="3"/>
  <c r="L42" i="3"/>
  <c r="N42" i="3" s="1"/>
  <c r="N41" i="3"/>
  <c r="AA42" i="3"/>
  <c r="AC42" i="3" s="1"/>
  <c r="AC41" i="3"/>
  <c r="F35" i="3"/>
  <c r="H34" i="3"/>
  <c r="T4" i="3"/>
  <c r="F153" i="23" s="1"/>
  <c r="R5" i="3"/>
  <c r="T5" i="3" s="1"/>
  <c r="D14" i="3"/>
  <c r="U45" i="3"/>
  <c r="W45" i="3" s="1"/>
  <c r="W44" i="3"/>
  <c r="AG5" i="3"/>
  <c r="AG6" i="3" s="1"/>
  <c r="AI4" i="3"/>
  <c r="K153" i="23" s="1"/>
  <c r="H41" i="3"/>
  <c r="F42" i="3"/>
  <c r="H42" i="3" s="1"/>
  <c r="X5" i="3"/>
  <c r="X6" i="3" s="1"/>
  <c r="Z6" i="3" s="1"/>
  <c r="Z4" i="3"/>
  <c r="H153" i="23" s="1"/>
  <c r="T34" i="3"/>
  <c r="R35" i="3"/>
  <c r="T35" i="3" s="1"/>
  <c r="AM35" i="3"/>
  <c r="AO35" i="3" s="1"/>
  <c r="AO34" i="3"/>
  <c r="AF41" i="3"/>
  <c r="AD42" i="3"/>
  <c r="AF42" i="3" s="1"/>
  <c r="F45" i="3"/>
  <c r="H45" i="3" s="1"/>
  <c r="H44" i="3"/>
  <c r="K34" i="3"/>
  <c r="I35" i="3"/>
  <c r="K35" i="3" s="1"/>
  <c r="I48" i="3"/>
  <c r="K48" i="3" s="1"/>
  <c r="C201" i="23" s="1"/>
  <c r="K47" i="3"/>
  <c r="I42" i="3"/>
  <c r="K42" i="3" s="1"/>
  <c r="K41" i="3"/>
  <c r="AA5" i="3"/>
  <c r="AC5" i="3" s="1"/>
  <c r="AC4" i="3"/>
  <c r="I153" i="23" s="1"/>
  <c r="Q44" i="3"/>
  <c r="O45" i="3"/>
  <c r="Q45" i="3" s="1"/>
  <c r="AC44" i="3"/>
  <c r="AA45" i="3"/>
  <c r="AC45" i="3" s="1"/>
  <c r="L35" i="3"/>
  <c r="N35" i="3" s="1"/>
  <c r="N34" i="3"/>
  <c r="Z34" i="3"/>
  <c r="X35" i="3"/>
  <c r="Z35" i="3" s="1"/>
  <c r="AJ42" i="3"/>
  <c r="AL42" i="3" s="1"/>
  <c r="AL41" i="3"/>
  <c r="H47" i="3"/>
  <c r="F48" i="3"/>
  <c r="H48" i="3" s="1"/>
  <c r="W47" i="3"/>
  <c r="U48" i="3"/>
  <c r="W48" i="3" s="1"/>
  <c r="AF44" i="3"/>
  <c r="AD45" i="3"/>
  <c r="AF45" i="3" s="1"/>
  <c r="Z64" i="3"/>
  <c r="X65" i="3"/>
  <c r="AC34" i="3"/>
  <c r="AA35" i="3"/>
  <c r="AC35" i="3" s="1"/>
  <c r="W24" i="3"/>
  <c r="U25" i="3"/>
  <c r="N44" i="3"/>
  <c r="L45" i="3"/>
  <c r="N45" i="3" s="1"/>
  <c r="AA48" i="3"/>
  <c r="AC48" i="3" s="1"/>
  <c r="AC47" i="3"/>
  <c r="I45" i="3"/>
  <c r="K45" i="3" s="1"/>
  <c r="K44" i="3"/>
  <c r="L48" i="3"/>
  <c r="N48" i="3" s="1"/>
  <c r="N47" i="3"/>
  <c r="AI41" i="3"/>
  <c r="AG42" i="3"/>
  <c r="AI42" i="3" s="1"/>
  <c r="AJ45" i="3"/>
  <c r="AL45" i="3" s="1"/>
  <c r="AL44" i="3"/>
  <c r="F5" i="3"/>
  <c r="H4" i="3"/>
  <c r="AC50" i="3"/>
  <c r="X11" i="3"/>
  <c r="X12" i="3" s="1"/>
  <c r="X13" i="3" s="1"/>
  <c r="AI51" i="3"/>
  <c r="U11" i="3"/>
  <c r="U12" i="3" s="1"/>
  <c r="W12" i="3" s="1"/>
  <c r="L11" i="3"/>
  <c r="L12" i="3" s="1"/>
  <c r="N12" i="3" s="1"/>
  <c r="O11" i="3"/>
  <c r="Q11" i="3" s="1"/>
  <c r="AJ11" i="3"/>
  <c r="I11" i="3"/>
  <c r="I12" i="3" s="1"/>
  <c r="K12" i="3" s="1"/>
  <c r="AG11" i="3"/>
  <c r="AI11" i="3" s="1"/>
  <c r="AA11" i="3"/>
  <c r="AC11" i="3" s="1"/>
  <c r="AC62" i="3"/>
  <c r="AI39" i="3"/>
  <c r="AO39" i="3"/>
  <c r="K39" i="3"/>
  <c r="AC68" i="3"/>
  <c r="W39" i="3"/>
  <c r="T39" i="3"/>
  <c r="T63" i="3"/>
  <c r="AO28" i="3"/>
  <c r="AO16" i="3"/>
  <c r="Z39" i="3"/>
  <c r="W51" i="3"/>
  <c r="W53" i="3"/>
  <c r="AC53" i="3"/>
  <c r="W56" i="3"/>
  <c r="G214" i="23" s="1"/>
  <c r="AI16" i="3"/>
  <c r="T23" i="3"/>
  <c r="AO56" i="3"/>
  <c r="M214" i="23" s="1"/>
  <c r="AO38" i="3"/>
  <c r="AM69" i="3"/>
  <c r="AO69" i="3" s="1"/>
  <c r="AM29" i="3"/>
  <c r="AO29" i="3" s="1"/>
  <c r="D59" i="3"/>
  <c r="AL22" i="3"/>
  <c r="AI53" i="3"/>
  <c r="AI28" i="3"/>
  <c r="AI29" i="3"/>
  <c r="AI10" i="3"/>
  <c r="AF51" i="3"/>
  <c r="AF39" i="3"/>
  <c r="AA63" i="3"/>
  <c r="AA64" i="3" s="1"/>
  <c r="AA51" i="3"/>
  <c r="AC51" i="3" s="1"/>
  <c r="AA69" i="3"/>
  <c r="AC69" i="3" s="1"/>
  <c r="AA39" i="3"/>
  <c r="AC39" i="3" s="1"/>
  <c r="Z38" i="3"/>
  <c r="Z56" i="3"/>
  <c r="H214" i="23" s="1"/>
  <c r="Z57" i="3"/>
  <c r="H213" i="23" s="1"/>
  <c r="Z53" i="3"/>
  <c r="W63" i="3"/>
  <c r="T29" i="3"/>
  <c r="T16" i="3"/>
  <c r="T56" i="3"/>
  <c r="F214" i="23" s="1"/>
  <c r="T53" i="3"/>
  <c r="Q63" i="3"/>
  <c r="K63" i="3"/>
  <c r="W38" i="3"/>
  <c r="K56" i="3"/>
  <c r="C214" i="23" s="1"/>
  <c r="Z16" i="3"/>
  <c r="Q22" i="3"/>
  <c r="AO10" i="3"/>
  <c r="K18" i="3"/>
  <c r="N16" i="3"/>
  <c r="W16" i="3"/>
  <c r="N68" i="3"/>
  <c r="W29" i="3"/>
  <c r="Q18" i="3"/>
  <c r="N51" i="3"/>
  <c r="K58" i="3"/>
  <c r="W17" i="3"/>
  <c r="N53" i="3"/>
  <c r="N57" i="3"/>
  <c r="D213" i="23" s="1"/>
  <c r="N63" i="3"/>
  <c r="W10" i="3"/>
  <c r="K29" i="3"/>
  <c r="K17" i="3"/>
  <c r="L69" i="3"/>
  <c r="L70" i="3" s="1"/>
  <c r="Q10" i="3"/>
  <c r="K50" i="3"/>
  <c r="K62" i="3"/>
  <c r="D66" i="3"/>
  <c r="W28" i="3"/>
  <c r="D70" i="3"/>
  <c r="Q56" i="3"/>
  <c r="E214" i="23" s="1"/>
  <c r="D51" i="3"/>
  <c r="I64" i="3"/>
  <c r="Q53" i="3"/>
  <c r="K23" i="3"/>
  <c r="N62" i="3"/>
  <c r="K38" i="3"/>
  <c r="Q29" i="3"/>
  <c r="AC16" i="3"/>
  <c r="D62" i="3"/>
  <c r="N28" i="3"/>
  <c r="Q23" i="3"/>
  <c r="Q68" i="3"/>
  <c r="K53" i="3"/>
  <c r="L54" i="3"/>
  <c r="N54" i="3" s="1"/>
  <c r="O57" i="3"/>
  <c r="O58" i="3" s="1"/>
  <c r="Q58" i="3" s="1"/>
  <c r="N50" i="3"/>
  <c r="K16" i="3"/>
  <c r="D19" i="3"/>
  <c r="K10" i="3"/>
  <c r="C161" i="23" s="1"/>
  <c r="AA17" i="3"/>
  <c r="AC17" i="3" s="1"/>
  <c r="N56" i="3"/>
  <c r="D214" i="23" s="1"/>
  <c r="AC10" i="3"/>
  <c r="I24" i="3"/>
  <c r="L30" i="3"/>
  <c r="L31" i="3" s="1"/>
  <c r="Q17" i="3"/>
  <c r="N38" i="3"/>
  <c r="Q16" i="3"/>
  <c r="K28" i="3"/>
  <c r="D25" i="3"/>
  <c r="D38" i="3"/>
  <c r="AC22" i="3"/>
  <c r="D69" i="3"/>
  <c r="D29" i="3"/>
  <c r="AG24" i="3"/>
  <c r="AI22" i="3"/>
  <c r="D12" i="3"/>
  <c r="D32" i="3"/>
  <c r="AA29" i="3"/>
  <c r="AA30" i="3" s="1"/>
  <c r="AA23" i="3"/>
  <c r="AC23" i="3" s="1"/>
  <c r="D20" i="3"/>
  <c r="D53" i="3"/>
  <c r="W23" i="3"/>
  <c r="W22" i="3"/>
  <c r="D10" i="3"/>
  <c r="O30" i="3"/>
  <c r="O31" i="3" s="1"/>
  <c r="Q28" i="3"/>
  <c r="D22" i="3"/>
  <c r="L64" i="3"/>
  <c r="D6" i="3"/>
  <c r="D28" i="3"/>
  <c r="D57" i="3"/>
  <c r="K22" i="3"/>
  <c r="D16" i="3"/>
  <c r="D5" i="3"/>
  <c r="N39" i="3"/>
  <c r="D23" i="3"/>
  <c r="D68" i="3"/>
  <c r="AF16" i="3"/>
  <c r="AF28" i="3"/>
  <c r="AF38" i="3"/>
  <c r="AF50" i="3"/>
  <c r="AF62" i="3"/>
  <c r="I30" i="3"/>
  <c r="I31" i="3" s="1"/>
  <c r="D39" i="3"/>
  <c r="D11" i="3"/>
  <c r="D30" i="3"/>
  <c r="D8" i="3"/>
  <c r="D56" i="3"/>
  <c r="D72" i="3"/>
  <c r="T51" i="3"/>
  <c r="D26" i="3"/>
  <c r="D65" i="3"/>
  <c r="D17" i="3"/>
  <c r="D58" i="3"/>
  <c r="D13" i="3"/>
  <c r="D60" i="3"/>
  <c r="AF22" i="3"/>
  <c r="AF56" i="3"/>
  <c r="J214" i="23" s="1"/>
  <c r="AF68" i="3"/>
  <c r="D7" i="3"/>
  <c r="D50" i="3"/>
  <c r="D71" i="3"/>
  <c r="D63" i="3"/>
  <c r="D18" i="3"/>
  <c r="D31" i="3"/>
  <c r="Q50" i="3"/>
  <c r="T68" i="3"/>
  <c r="AF53" i="3"/>
  <c r="AO63" i="3"/>
  <c r="AM64" i="3"/>
  <c r="AO23" i="3"/>
  <c r="AM24" i="3"/>
  <c r="AO11" i="3"/>
  <c r="AM12" i="3"/>
  <c r="AF63" i="3"/>
  <c r="AD64" i="3"/>
  <c r="AF23" i="3"/>
  <c r="AD24" i="3"/>
  <c r="AG31" i="3"/>
  <c r="AI30" i="3"/>
  <c r="AG19" i="3"/>
  <c r="AI18" i="3"/>
  <c r="AJ71" i="3"/>
  <c r="AL70" i="3"/>
  <c r="AJ59" i="3"/>
  <c r="AL58" i="3"/>
  <c r="AF11" i="3"/>
  <c r="AD12" i="3"/>
  <c r="AO57" i="3"/>
  <c r="M213" i="23" s="1"/>
  <c r="AM58" i="3"/>
  <c r="AO17" i="3"/>
  <c r="AM18" i="3"/>
  <c r="AF69" i="3"/>
  <c r="AD70" i="3"/>
  <c r="AF57" i="3"/>
  <c r="J213" i="23" s="1"/>
  <c r="AD58" i="3"/>
  <c r="AF29" i="3"/>
  <c r="AD30" i="3"/>
  <c r="AF17" i="3"/>
  <c r="AD18" i="3"/>
  <c r="AG71" i="3"/>
  <c r="AI70" i="3"/>
  <c r="AG59" i="3"/>
  <c r="AI58" i="3"/>
  <c r="AJ31" i="3"/>
  <c r="AL30" i="3"/>
  <c r="AJ19" i="3"/>
  <c r="AL18" i="3"/>
  <c r="T17" i="3"/>
  <c r="R18" i="3"/>
  <c r="U71" i="3"/>
  <c r="W70" i="3"/>
  <c r="U59" i="3"/>
  <c r="W58" i="3"/>
  <c r="AC57" i="3"/>
  <c r="I213" i="23" s="1"/>
  <c r="AA58" i="3"/>
  <c r="U19" i="3"/>
  <c r="W18" i="3"/>
  <c r="X59" i="3"/>
  <c r="Z58" i="3"/>
  <c r="X31" i="3"/>
  <c r="Z30" i="3"/>
  <c r="X19" i="3"/>
  <c r="Z18" i="3"/>
  <c r="T11" i="3"/>
  <c r="R12" i="3"/>
  <c r="U31" i="3"/>
  <c r="W30" i="3"/>
  <c r="T30" i="3"/>
  <c r="R31" i="3"/>
  <c r="T69" i="3"/>
  <c r="R70" i="3"/>
  <c r="X71" i="3"/>
  <c r="Z70" i="3"/>
  <c r="L18" i="3"/>
  <c r="N17" i="3"/>
  <c r="K57" i="3"/>
  <c r="C213" i="23" s="1"/>
  <c r="I59" i="3"/>
  <c r="I60" i="3" s="1"/>
  <c r="K60" i="3" s="1"/>
  <c r="O70" i="3"/>
  <c r="Q69" i="3"/>
  <c r="O20" i="3"/>
  <c r="Q20" i="3" s="1"/>
  <c r="Q19" i="3"/>
  <c r="N58" i="3"/>
  <c r="L59" i="3"/>
  <c r="I20" i="3"/>
  <c r="K20" i="3" s="1"/>
  <c r="K19" i="3"/>
  <c r="I70" i="3"/>
  <c r="K69" i="3"/>
  <c r="M118" i="23" l="1"/>
  <c r="L199" i="23"/>
  <c r="L166" i="23"/>
  <c r="L133" i="23"/>
  <c r="L192" i="23"/>
  <c r="L205" i="23"/>
  <c r="L177" i="23"/>
  <c r="L142" i="23"/>
  <c r="L211" i="23"/>
  <c r="L184" i="23"/>
  <c r="L150" i="23"/>
  <c r="L158" i="23"/>
  <c r="L123" i="23"/>
  <c r="L119" i="23"/>
  <c r="L120" i="23"/>
  <c r="L121" i="23" s="1"/>
  <c r="K145" i="23"/>
  <c r="F144" i="23"/>
  <c r="K144" i="23"/>
  <c r="I180" i="23"/>
  <c r="I145" i="23"/>
  <c r="G144" i="23"/>
  <c r="L144" i="23"/>
  <c r="L145" i="23"/>
  <c r="K136" i="23"/>
  <c r="K180" i="23"/>
  <c r="G208" i="23"/>
  <c r="R59" i="3"/>
  <c r="T59" i="3" s="1"/>
  <c r="L126" i="23"/>
  <c r="M126" i="23"/>
  <c r="I13" i="3"/>
  <c r="I14" i="3" s="1"/>
  <c r="K14" i="3" s="1"/>
  <c r="L161" i="23"/>
  <c r="L13" i="3"/>
  <c r="L14" i="3" s="1"/>
  <c r="N14" i="3" s="1"/>
  <c r="H208" i="23"/>
  <c r="F161" i="23"/>
  <c r="C162" i="23"/>
  <c r="C171" i="23"/>
  <c r="C172" i="23"/>
  <c r="D162" i="23"/>
  <c r="E171" i="23"/>
  <c r="E172" i="23"/>
  <c r="D168" i="23"/>
  <c r="F160" i="23"/>
  <c r="H170" i="23"/>
  <c r="G170" i="23"/>
  <c r="F168" i="23"/>
  <c r="L170" i="23"/>
  <c r="J168" i="23"/>
  <c r="M168" i="23"/>
  <c r="J160" i="23"/>
  <c r="K170" i="23"/>
  <c r="J125" i="23"/>
  <c r="M160" i="23"/>
  <c r="M125" i="23"/>
  <c r="E208" i="23"/>
  <c r="F207" i="23"/>
  <c r="J126" i="23"/>
  <c r="J208" i="23"/>
  <c r="J169" i="23"/>
  <c r="E169" i="23"/>
  <c r="E168" i="23"/>
  <c r="I161" i="23"/>
  <c r="I168" i="23"/>
  <c r="C169" i="23"/>
  <c r="D208" i="23"/>
  <c r="I169" i="23"/>
  <c r="D126" i="23"/>
  <c r="C126" i="23"/>
  <c r="C208" i="23"/>
  <c r="E161" i="23"/>
  <c r="C168" i="23"/>
  <c r="G161" i="23"/>
  <c r="D125" i="23"/>
  <c r="G168" i="23"/>
  <c r="D207" i="23"/>
  <c r="E170" i="23"/>
  <c r="G169" i="23"/>
  <c r="D169" i="23"/>
  <c r="C170" i="23"/>
  <c r="M161" i="23"/>
  <c r="H169" i="23"/>
  <c r="C125" i="23"/>
  <c r="E125" i="23"/>
  <c r="F169" i="23"/>
  <c r="G125" i="23"/>
  <c r="I207" i="23"/>
  <c r="J207" i="23"/>
  <c r="K161" i="23"/>
  <c r="K169" i="23"/>
  <c r="G207" i="23"/>
  <c r="M169" i="23"/>
  <c r="F125" i="23"/>
  <c r="I126" i="23"/>
  <c r="I160" i="23"/>
  <c r="K160" i="23"/>
  <c r="E160" i="23"/>
  <c r="G162" i="23"/>
  <c r="K207" i="23"/>
  <c r="I208" i="23"/>
  <c r="L196" i="23"/>
  <c r="L195" i="23"/>
  <c r="D202" i="23"/>
  <c r="D201" i="23"/>
  <c r="C196" i="23"/>
  <c r="C195" i="23"/>
  <c r="I202" i="23"/>
  <c r="I201" i="23"/>
  <c r="D195" i="23"/>
  <c r="D196" i="23"/>
  <c r="H127" i="23"/>
  <c r="J195" i="23"/>
  <c r="J196" i="23"/>
  <c r="G201" i="23"/>
  <c r="G202" i="23"/>
  <c r="B201" i="23"/>
  <c r="B202" i="23"/>
  <c r="I195" i="23"/>
  <c r="I196" i="23"/>
  <c r="E195" i="23"/>
  <c r="E196" i="23"/>
  <c r="I152" i="23"/>
  <c r="C202" i="23"/>
  <c r="B196" i="23"/>
  <c r="B195" i="23"/>
  <c r="H154" i="23"/>
  <c r="G196" i="23"/>
  <c r="G195" i="23"/>
  <c r="F152" i="23"/>
  <c r="H201" i="23"/>
  <c r="H202" i="23"/>
  <c r="F201" i="23"/>
  <c r="F202" i="23"/>
  <c r="E154" i="23"/>
  <c r="E202" i="23"/>
  <c r="E201" i="23"/>
  <c r="M202" i="23"/>
  <c r="M201" i="23"/>
  <c r="H195" i="23"/>
  <c r="H196" i="23"/>
  <c r="E127" i="23"/>
  <c r="F127" i="23"/>
  <c r="K201" i="23"/>
  <c r="K202" i="23"/>
  <c r="F196" i="23"/>
  <c r="F195" i="23"/>
  <c r="C153" i="23"/>
  <c r="L127" i="23"/>
  <c r="M195" i="23"/>
  <c r="M196" i="23"/>
  <c r="L202" i="23"/>
  <c r="L201" i="23"/>
  <c r="K195" i="23"/>
  <c r="K196" i="23"/>
  <c r="K127" i="23"/>
  <c r="D153" i="23"/>
  <c r="D152" i="23"/>
  <c r="J202" i="23"/>
  <c r="J201" i="23"/>
  <c r="G127" i="23"/>
  <c r="L168" i="23"/>
  <c r="L169" i="23"/>
  <c r="K168" i="23"/>
  <c r="H168" i="23"/>
  <c r="B153" i="23"/>
  <c r="AL5" i="3"/>
  <c r="Q5" i="3"/>
  <c r="C135" i="23"/>
  <c r="D146" i="23"/>
  <c r="E135" i="23"/>
  <c r="C148" i="23"/>
  <c r="C144" i="23"/>
  <c r="H137" i="23"/>
  <c r="F135" i="23"/>
  <c r="F146" i="23"/>
  <c r="H146" i="23"/>
  <c r="I144" i="23"/>
  <c r="G146" i="23"/>
  <c r="G137" i="23"/>
  <c r="K146" i="23"/>
  <c r="K137" i="23"/>
  <c r="J144" i="23"/>
  <c r="J135" i="23"/>
  <c r="M144" i="23"/>
  <c r="L146" i="23"/>
  <c r="L137" i="23"/>
  <c r="F136" i="23"/>
  <c r="J136" i="23"/>
  <c r="J145" i="23"/>
  <c r="J180" i="23"/>
  <c r="D179" i="23"/>
  <c r="D180" i="23"/>
  <c r="D145" i="23"/>
  <c r="E146" i="23"/>
  <c r="E136" i="23"/>
  <c r="C180" i="23"/>
  <c r="E145" i="23"/>
  <c r="D144" i="23"/>
  <c r="C146" i="23"/>
  <c r="D136" i="23"/>
  <c r="C145" i="23"/>
  <c r="G180" i="23"/>
  <c r="F145" i="23"/>
  <c r="H144" i="23"/>
  <c r="H145" i="23"/>
  <c r="H180" i="23"/>
  <c r="I187" i="23"/>
  <c r="I179" i="23"/>
  <c r="I135" i="23"/>
  <c r="J179" i="23"/>
  <c r="M135" i="23"/>
  <c r="M180" i="23"/>
  <c r="M145" i="23"/>
  <c r="G145" i="23"/>
  <c r="H179" i="23"/>
  <c r="F179" i="23"/>
  <c r="G179" i="23"/>
  <c r="I136" i="23"/>
  <c r="C179" i="23"/>
  <c r="M179" i="23"/>
  <c r="K179" i="23"/>
  <c r="K187" i="23"/>
  <c r="K188" i="23"/>
  <c r="L188" i="23"/>
  <c r="L187" i="23"/>
  <c r="C188" i="23"/>
  <c r="C187" i="23"/>
  <c r="J187" i="23"/>
  <c r="J188" i="23"/>
  <c r="B187" i="23"/>
  <c r="B188" i="23"/>
  <c r="D188" i="23"/>
  <c r="D187" i="23"/>
  <c r="G187" i="23"/>
  <c r="G188" i="23"/>
  <c r="E188" i="23"/>
  <c r="E187" i="23"/>
  <c r="H188" i="23"/>
  <c r="H187" i="23"/>
  <c r="F187" i="23"/>
  <c r="F188" i="23"/>
  <c r="M188" i="23"/>
  <c r="M187" i="23"/>
  <c r="AG12" i="3"/>
  <c r="AI12" i="3" s="1"/>
  <c r="R6" i="3"/>
  <c r="T6" i="3" s="1"/>
  <c r="U13" i="3"/>
  <c r="U14" i="3" s="1"/>
  <c r="W14" i="3" s="1"/>
  <c r="W6" i="3"/>
  <c r="U7" i="3"/>
  <c r="U8" i="3" s="1"/>
  <c r="W8" i="3" s="1"/>
  <c r="AJ7" i="3"/>
  <c r="AL7" i="3" s="1"/>
  <c r="AL6" i="3"/>
  <c r="I25" i="3"/>
  <c r="K25" i="3" s="1"/>
  <c r="K24" i="3"/>
  <c r="AF5" i="3"/>
  <c r="AO64" i="3"/>
  <c r="AM65" i="3"/>
  <c r="AD65" i="3"/>
  <c r="AF64" i="3"/>
  <c r="N11" i="3"/>
  <c r="Z11" i="3"/>
  <c r="AD25" i="3"/>
  <c r="AF24" i="3"/>
  <c r="W5" i="3"/>
  <c r="Z12" i="3"/>
  <c r="AG25" i="3"/>
  <c r="AG26" i="3" s="1"/>
  <c r="AI26" i="3" s="1"/>
  <c r="AI24" i="3"/>
  <c r="O12" i="3"/>
  <c r="Q12" i="3" s="1"/>
  <c r="AO24" i="3"/>
  <c r="AM25" i="3"/>
  <c r="K64" i="3"/>
  <c r="I65" i="3"/>
  <c r="I66" i="3" s="1"/>
  <c r="K66" i="3" s="1"/>
  <c r="AC64" i="3"/>
  <c r="AA65" i="3"/>
  <c r="Z5" i="3"/>
  <c r="L65" i="3"/>
  <c r="L66" i="3" s="1"/>
  <c r="N66" i="3" s="1"/>
  <c r="N64" i="3"/>
  <c r="AA6" i="3"/>
  <c r="AC6" i="3" s="1"/>
  <c r="Q57" i="3"/>
  <c r="E213" i="23" s="1"/>
  <c r="W11" i="3"/>
  <c r="K11" i="3"/>
  <c r="AA12" i="3"/>
  <c r="AC12" i="3" s="1"/>
  <c r="X7" i="3"/>
  <c r="Z7" i="3" s="1"/>
  <c r="AL11" i="3"/>
  <c r="AJ12" i="3"/>
  <c r="AC63" i="3"/>
  <c r="AM30" i="3"/>
  <c r="AO30" i="3" s="1"/>
  <c r="AM70" i="3"/>
  <c r="AO70" i="3" s="1"/>
  <c r="AA70" i="3"/>
  <c r="AA71" i="3" s="1"/>
  <c r="N69" i="3"/>
  <c r="O59" i="3"/>
  <c r="O60" i="3" s="1"/>
  <c r="Q60" i="3" s="1"/>
  <c r="L6" i="3"/>
  <c r="L7" i="3" s="1"/>
  <c r="L8" i="3" s="1"/>
  <c r="N8" i="3" s="1"/>
  <c r="N30" i="3"/>
  <c r="O7" i="3"/>
  <c r="Q7" i="3" s="1"/>
  <c r="AI5" i="3"/>
  <c r="AA18" i="3"/>
  <c r="AC18" i="3" s="1"/>
  <c r="K30" i="3"/>
  <c r="K59" i="3"/>
  <c r="AC29" i="3"/>
  <c r="Q30" i="3"/>
  <c r="AA24" i="3"/>
  <c r="K5" i="3"/>
  <c r="K6" i="3"/>
  <c r="I7" i="3"/>
  <c r="AO5" i="3"/>
  <c r="AM6" i="3"/>
  <c r="AF30" i="3"/>
  <c r="AD31" i="3"/>
  <c r="AF70" i="3"/>
  <c r="AD71" i="3"/>
  <c r="AF12" i="3"/>
  <c r="AD13" i="3"/>
  <c r="AJ20" i="3"/>
  <c r="AL20" i="3" s="1"/>
  <c r="AL19" i="3"/>
  <c r="AJ66" i="3"/>
  <c r="AL66" i="3" s="1"/>
  <c r="AL65" i="3"/>
  <c r="AG72" i="3"/>
  <c r="AI72" i="3" s="1"/>
  <c r="AI71" i="3"/>
  <c r="AJ60" i="3"/>
  <c r="AL60" i="3" s="1"/>
  <c r="AL59" i="3"/>
  <c r="AG20" i="3"/>
  <c r="AI20" i="3" s="1"/>
  <c r="AI19" i="3"/>
  <c r="AG66" i="3"/>
  <c r="AI66" i="3" s="1"/>
  <c r="AI65" i="3"/>
  <c r="AI6" i="3"/>
  <c r="AG7" i="3"/>
  <c r="AF18" i="3"/>
  <c r="AD19" i="3"/>
  <c r="AF58" i="3"/>
  <c r="AD59" i="3"/>
  <c r="AO18" i="3"/>
  <c r="AM19" i="3"/>
  <c r="AO58" i="3"/>
  <c r="AM59" i="3"/>
  <c r="AF6" i="3"/>
  <c r="AD7" i="3"/>
  <c r="AO12" i="3"/>
  <c r="AM13" i="3"/>
  <c r="AJ32" i="3"/>
  <c r="AL32" i="3" s="1"/>
  <c r="AL31" i="3"/>
  <c r="AG60" i="3"/>
  <c r="AI60" i="3" s="1"/>
  <c r="AI59" i="3"/>
  <c r="AJ26" i="3"/>
  <c r="AL26" i="3" s="1"/>
  <c r="AL25" i="3"/>
  <c r="AJ72" i="3"/>
  <c r="AL72" i="3" s="1"/>
  <c r="AL71" i="3"/>
  <c r="AG32" i="3"/>
  <c r="AI32" i="3" s="1"/>
  <c r="AI31" i="3"/>
  <c r="T70" i="3"/>
  <c r="R71" i="3"/>
  <c r="T31" i="3"/>
  <c r="R32" i="3"/>
  <c r="T32" i="3" s="1"/>
  <c r="T65" i="3"/>
  <c r="R66" i="3"/>
  <c r="T66" i="3" s="1"/>
  <c r="AC58" i="3"/>
  <c r="AA59" i="3"/>
  <c r="U66" i="3"/>
  <c r="W66" i="3" s="1"/>
  <c r="W65" i="3"/>
  <c r="X26" i="3"/>
  <c r="Z26" i="3" s="1"/>
  <c r="Z25" i="3"/>
  <c r="X60" i="3"/>
  <c r="Z60" i="3" s="1"/>
  <c r="Z59" i="3"/>
  <c r="U20" i="3"/>
  <c r="W20" i="3" s="1"/>
  <c r="W19" i="3"/>
  <c r="U26" i="3"/>
  <c r="W26" i="3" s="1"/>
  <c r="W25" i="3"/>
  <c r="U72" i="3"/>
  <c r="W72" i="3" s="1"/>
  <c r="W71" i="3"/>
  <c r="T25" i="3"/>
  <c r="R26" i="3"/>
  <c r="T26" i="3" s="1"/>
  <c r="T12" i="3"/>
  <c r="R13" i="3"/>
  <c r="AC30" i="3"/>
  <c r="AA31" i="3"/>
  <c r="T18" i="3"/>
  <c r="R19" i="3"/>
  <c r="X72" i="3"/>
  <c r="Z72" i="3" s="1"/>
  <c r="Z71" i="3"/>
  <c r="U32" i="3"/>
  <c r="W32" i="3" s="1"/>
  <c r="W31" i="3"/>
  <c r="X20" i="3"/>
  <c r="Z20" i="3" s="1"/>
  <c r="Z19" i="3"/>
  <c r="X32" i="3"/>
  <c r="Z32" i="3" s="1"/>
  <c r="Z31" i="3"/>
  <c r="X66" i="3"/>
  <c r="Z66" i="3" s="1"/>
  <c r="Z65" i="3"/>
  <c r="X14" i="3"/>
  <c r="Z14" i="3" s="1"/>
  <c r="Z13" i="3"/>
  <c r="U60" i="3"/>
  <c r="W60" i="3" s="1"/>
  <c r="W59" i="3"/>
  <c r="L19" i="3"/>
  <c r="N18" i="3"/>
  <c r="O26" i="3"/>
  <c r="Q26" i="3" s="1"/>
  <c r="Q25" i="3"/>
  <c r="O66" i="3"/>
  <c r="Q66" i="3" s="1"/>
  <c r="Q65" i="3"/>
  <c r="O32" i="3"/>
  <c r="Q32" i="3" s="1"/>
  <c r="Q31" i="3"/>
  <c r="O71" i="3"/>
  <c r="Q70" i="3"/>
  <c r="L60" i="3"/>
  <c r="N60" i="3" s="1"/>
  <c r="N59" i="3"/>
  <c r="L26" i="3"/>
  <c r="N26" i="3" s="1"/>
  <c r="N25" i="3"/>
  <c r="L71" i="3"/>
  <c r="N70" i="3"/>
  <c r="L32" i="3"/>
  <c r="N32" i="3" s="1"/>
  <c r="N31" i="3"/>
  <c r="I71" i="3"/>
  <c r="K70" i="3"/>
  <c r="I32" i="3"/>
  <c r="K32" i="3" s="1"/>
  <c r="K31" i="3"/>
  <c r="M199" i="23" l="1"/>
  <c r="M158" i="23"/>
  <c r="M133" i="23"/>
  <c r="M205" i="23"/>
  <c r="M177" i="23"/>
  <c r="M142" i="23"/>
  <c r="M166" i="23"/>
  <c r="M123" i="23"/>
  <c r="M211" i="23"/>
  <c r="M184" i="23"/>
  <c r="M150" i="23"/>
  <c r="M192" i="23"/>
  <c r="M119" i="23"/>
  <c r="M120" i="23"/>
  <c r="K13" i="3"/>
  <c r="R60" i="3"/>
  <c r="T60" i="3" s="1"/>
  <c r="F148" i="23" s="1"/>
  <c r="W13" i="3"/>
  <c r="G163" i="23" s="1"/>
  <c r="R7" i="3"/>
  <c r="R8" i="3" s="1"/>
  <c r="T8" i="3" s="1"/>
  <c r="F156" i="23" s="1"/>
  <c r="N13" i="3"/>
  <c r="D163" i="23" s="1"/>
  <c r="O13" i="3"/>
  <c r="O14" i="3" s="1"/>
  <c r="Q14" i="3" s="1"/>
  <c r="E164" i="23" s="1"/>
  <c r="K65" i="3"/>
  <c r="C128" i="23" s="1"/>
  <c r="AG13" i="3"/>
  <c r="AG14" i="3" s="1"/>
  <c r="AI14" i="3" s="1"/>
  <c r="C163" i="23"/>
  <c r="C164" i="23"/>
  <c r="C129" i="23"/>
  <c r="D164" i="23"/>
  <c r="E128" i="23"/>
  <c r="E129" i="23"/>
  <c r="D170" i="23"/>
  <c r="H163" i="23"/>
  <c r="H164" i="23"/>
  <c r="H128" i="23"/>
  <c r="H129" i="23"/>
  <c r="H171" i="23"/>
  <c r="H172" i="23"/>
  <c r="F170" i="23"/>
  <c r="F162" i="23"/>
  <c r="G171" i="23"/>
  <c r="G172" i="23"/>
  <c r="G128" i="23"/>
  <c r="G129" i="23"/>
  <c r="F129" i="23"/>
  <c r="F128" i="23"/>
  <c r="M162" i="23"/>
  <c r="J154" i="23"/>
  <c r="M170" i="23"/>
  <c r="J170" i="23"/>
  <c r="K154" i="23"/>
  <c r="K128" i="23"/>
  <c r="K129" i="23"/>
  <c r="K171" i="23"/>
  <c r="K172" i="23"/>
  <c r="L128" i="23"/>
  <c r="L129" i="23"/>
  <c r="L171" i="23"/>
  <c r="L172" i="23"/>
  <c r="J162" i="23"/>
  <c r="M152" i="23"/>
  <c r="C154" i="23"/>
  <c r="C152" i="23"/>
  <c r="I170" i="23"/>
  <c r="K152" i="23"/>
  <c r="E155" i="23"/>
  <c r="D156" i="23"/>
  <c r="I125" i="23"/>
  <c r="L160" i="23"/>
  <c r="H155" i="23"/>
  <c r="I162" i="23"/>
  <c r="C160" i="23"/>
  <c r="G160" i="23"/>
  <c r="I154" i="23"/>
  <c r="D127" i="23"/>
  <c r="D129" i="23"/>
  <c r="H152" i="23"/>
  <c r="I127" i="23"/>
  <c r="C127" i="23"/>
  <c r="E162" i="23"/>
  <c r="H162" i="23"/>
  <c r="G152" i="23"/>
  <c r="H160" i="23"/>
  <c r="D160" i="23"/>
  <c r="J127" i="23"/>
  <c r="M127" i="23"/>
  <c r="J152" i="23"/>
  <c r="L154" i="23"/>
  <c r="L155" i="23"/>
  <c r="G156" i="23"/>
  <c r="G154" i="23"/>
  <c r="G164" i="23"/>
  <c r="F154" i="23"/>
  <c r="K162" i="23"/>
  <c r="E152" i="23"/>
  <c r="L152" i="23"/>
  <c r="AA7" i="3"/>
  <c r="AA8" i="3" s="1"/>
  <c r="AC8" i="3" s="1"/>
  <c r="C137" i="23"/>
  <c r="D137" i="23"/>
  <c r="D147" i="23"/>
  <c r="D148" i="23"/>
  <c r="E137" i="23"/>
  <c r="G147" i="23"/>
  <c r="G148" i="23"/>
  <c r="H138" i="23"/>
  <c r="H139" i="23"/>
  <c r="F147" i="23"/>
  <c r="G138" i="23"/>
  <c r="G139" i="23"/>
  <c r="H147" i="23"/>
  <c r="H148" i="23"/>
  <c r="I146" i="23"/>
  <c r="F137" i="23"/>
  <c r="L138" i="23"/>
  <c r="L139" i="23"/>
  <c r="K147" i="23"/>
  <c r="K148" i="23"/>
  <c r="M146" i="23"/>
  <c r="J146" i="23"/>
  <c r="L147" i="23"/>
  <c r="L148" i="23"/>
  <c r="K138" i="23"/>
  <c r="K139" i="23"/>
  <c r="J137" i="23"/>
  <c r="C147" i="23"/>
  <c r="E148" i="23"/>
  <c r="D135" i="23"/>
  <c r="M137" i="23"/>
  <c r="E144" i="23"/>
  <c r="W7" i="3"/>
  <c r="AJ8" i="3"/>
  <c r="AL8" i="3" s="1"/>
  <c r="AA25" i="3"/>
  <c r="AA26" i="3" s="1"/>
  <c r="AC26" i="3" s="1"/>
  <c r="AC24" i="3"/>
  <c r="AA13" i="3"/>
  <c r="AC13" i="3" s="1"/>
  <c r="X8" i="3"/>
  <c r="Z8" i="3" s="1"/>
  <c r="AJ13" i="3"/>
  <c r="AL12" i="3"/>
  <c r="AC70" i="3"/>
  <c r="AM71" i="3"/>
  <c r="AO71" i="3" s="1"/>
  <c r="AM31" i="3"/>
  <c r="AO31" i="3" s="1"/>
  <c r="N6" i="3"/>
  <c r="N7" i="3"/>
  <c r="I26" i="3"/>
  <c r="K26" i="3" s="1"/>
  <c r="Q59" i="3"/>
  <c r="O8" i="3"/>
  <c r="Q8" i="3" s="1"/>
  <c r="N65" i="3"/>
  <c r="AI25" i="3"/>
  <c r="AA19" i="3"/>
  <c r="AC19" i="3" s="1"/>
  <c r="I8" i="3"/>
  <c r="K8" i="3" s="1"/>
  <c r="K7" i="3"/>
  <c r="AM7" i="3"/>
  <c r="AO6" i="3"/>
  <c r="AO13" i="3"/>
  <c r="AM14" i="3"/>
  <c r="AO14" i="3" s="1"/>
  <c r="AF7" i="3"/>
  <c r="AD8" i="3"/>
  <c r="AF8" i="3" s="1"/>
  <c r="AO19" i="3"/>
  <c r="AM20" i="3"/>
  <c r="AO20" i="3" s="1"/>
  <c r="AF19" i="3"/>
  <c r="AD20" i="3"/>
  <c r="AF20" i="3" s="1"/>
  <c r="AF65" i="3"/>
  <c r="AD66" i="3"/>
  <c r="AF66" i="3" s="1"/>
  <c r="AF71" i="3"/>
  <c r="AD72" i="3"/>
  <c r="AF72" i="3" s="1"/>
  <c r="AO65" i="3"/>
  <c r="AM66" i="3"/>
  <c r="AO66" i="3" s="1"/>
  <c r="AF25" i="3"/>
  <c r="AD26" i="3"/>
  <c r="AF26" i="3" s="1"/>
  <c r="AO59" i="3"/>
  <c r="AM60" i="3"/>
  <c r="AO60" i="3" s="1"/>
  <c r="AF59" i="3"/>
  <c r="AD60" i="3"/>
  <c r="AF60" i="3" s="1"/>
  <c r="AI7" i="3"/>
  <c r="AG8" i="3"/>
  <c r="AI8" i="3" s="1"/>
  <c r="AO25" i="3"/>
  <c r="AM26" i="3"/>
  <c r="AO26" i="3" s="1"/>
  <c r="AF13" i="3"/>
  <c r="AD14" i="3"/>
  <c r="AF14" i="3" s="1"/>
  <c r="AF31" i="3"/>
  <c r="AD32" i="3"/>
  <c r="AF32" i="3" s="1"/>
  <c r="T19" i="3"/>
  <c r="R20" i="3"/>
  <c r="T20" i="3" s="1"/>
  <c r="AC71" i="3"/>
  <c r="AA72" i="3"/>
  <c r="AC72" i="3" s="1"/>
  <c r="T13" i="3"/>
  <c r="R14" i="3"/>
  <c r="T14" i="3" s="1"/>
  <c r="AC65" i="3"/>
  <c r="AA66" i="3"/>
  <c r="AC66" i="3" s="1"/>
  <c r="AC31" i="3"/>
  <c r="AA32" i="3"/>
  <c r="AC32" i="3" s="1"/>
  <c r="AC59" i="3"/>
  <c r="AA60" i="3"/>
  <c r="AC60" i="3" s="1"/>
  <c r="T71" i="3"/>
  <c r="R72" i="3"/>
  <c r="T72" i="3" s="1"/>
  <c r="N19" i="3"/>
  <c r="L20" i="3"/>
  <c r="N20" i="3" s="1"/>
  <c r="O72" i="3"/>
  <c r="Q72" i="3" s="1"/>
  <c r="Q71" i="3"/>
  <c r="L72" i="3"/>
  <c r="N72" i="3" s="1"/>
  <c r="N71" i="3"/>
  <c r="I72" i="3"/>
  <c r="K72" i="3" s="1"/>
  <c r="K71" i="3"/>
  <c r="C69" i="3"/>
  <c r="C70" i="3" s="1"/>
  <c r="C51" i="3"/>
  <c r="C29" i="3"/>
  <c r="C17" i="3"/>
  <c r="F69" i="3"/>
  <c r="F70" i="3" s="1"/>
  <c r="F71" i="3" s="1"/>
  <c r="F72" i="3" s="1"/>
  <c r="C63" i="3"/>
  <c r="C64" i="3" s="1"/>
  <c r="F57" i="3"/>
  <c r="F58" i="3" s="1"/>
  <c r="F59" i="3" s="1"/>
  <c r="F60" i="3" s="1"/>
  <c r="F54" i="3"/>
  <c r="H54" i="3" s="1"/>
  <c r="F51" i="3"/>
  <c r="F39" i="3"/>
  <c r="C39" i="3"/>
  <c r="F23" i="3"/>
  <c r="F11" i="3"/>
  <c r="F12" i="3" s="1"/>
  <c r="M121" i="23" l="1"/>
  <c r="Q13" i="3"/>
  <c r="E163" i="23" s="1"/>
  <c r="T7" i="3"/>
  <c r="F155" i="23" s="1"/>
  <c r="AC25" i="3"/>
  <c r="K164" i="23"/>
  <c r="AI13" i="3"/>
  <c r="AC7" i="3"/>
  <c r="I155" i="23" s="1"/>
  <c r="D172" i="23"/>
  <c r="D171" i="23"/>
  <c r="I156" i="23"/>
  <c r="I129" i="23"/>
  <c r="I128" i="23"/>
  <c r="F164" i="23"/>
  <c r="F163" i="23"/>
  <c r="F172" i="23"/>
  <c r="F171" i="23"/>
  <c r="J164" i="23"/>
  <c r="J163" i="23"/>
  <c r="K156" i="23"/>
  <c r="K155" i="23"/>
  <c r="M129" i="23"/>
  <c r="M128" i="23"/>
  <c r="J129" i="23"/>
  <c r="J128" i="23"/>
  <c r="J172" i="23"/>
  <c r="J171" i="23"/>
  <c r="M172" i="23"/>
  <c r="M171" i="23"/>
  <c r="J156" i="23"/>
  <c r="J155" i="23"/>
  <c r="M164" i="23"/>
  <c r="M163" i="23"/>
  <c r="M154" i="23"/>
  <c r="C155" i="23"/>
  <c r="C156" i="23"/>
  <c r="I171" i="23"/>
  <c r="D128" i="23"/>
  <c r="E156" i="23"/>
  <c r="D155" i="23"/>
  <c r="D154" i="23"/>
  <c r="L162" i="23"/>
  <c r="H156" i="23"/>
  <c r="I163" i="23"/>
  <c r="L156" i="23"/>
  <c r="G155" i="23"/>
  <c r="C138" i="23"/>
  <c r="C139" i="23"/>
  <c r="D138" i="23"/>
  <c r="D139" i="23"/>
  <c r="E138" i="23"/>
  <c r="E139" i="23"/>
  <c r="F139" i="23"/>
  <c r="F138" i="23"/>
  <c r="I148" i="23"/>
  <c r="I147" i="23"/>
  <c r="I139" i="23"/>
  <c r="I138" i="23"/>
  <c r="J148" i="23"/>
  <c r="J147" i="23"/>
  <c r="M148" i="23"/>
  <c r="M147" i="23"/>
  <c r="J139" i="23"/>
  <c r="J138" i="23"/>
  <c r="E147" i="23"/>
  <c r="M138" i="23"/>
  <c r="I137" i="23"/>
  <c r="AA14" i="3"/>
  <c r="AC14" i="3" s="1"/>
  <c r="C65" i="3"/>
  <c r="C66" i="3" s="1"/>
  <c r="E66" i="3" s="1"/>
  <c r="E64" i="3"/>
  <c r="AL13" i="3"/>
  <c r="AJ14" i="3"/>
  <c r="AL14" i="3" s="1"/>
  <c r="AM72" i="3"/>
  <c r="AO72" i="3" s="1"/>
  <c r="AM32" i="3"/>
  <c r="AO32" i="3" s="1"/>
  <c r="AA20" i="3"/>
  <c r="AC20" i="3" s="1"/>
  <c r="AM8" i="3"/>
  <c r="AO8" i="3" s="1"/>
  <c r="AO7" i="3"/>
  <c r="E5" i="3"/>
  <c r="E39" i="3"/>
  <c r="E38" i="3"/>
  <c r="E50" i="3"/>
  <c r="E10" i="3"/>
  <c r="E56" i="3"/>
  <c r="E53" i="3"/>
  <c r="E68" i="3"/>
  <c r="E69" i="3"/>
  <c r="E62" i="3"/>
  <c r="E70" i="3"/>
  <c r="E51" i="3"/>
  <c r="E63" i="3"/>
  <c r="E28" i="3"/>
  <c r="E16" i="3"/>
  <c r="H60" i="3"/>
  <c r="E22" i="3"/>
  <c r="H62" i="3"/>
  <c r="H35" i="3"/>
  <c r="H39" i="3"/>
  <c r="H51" i="3"/>
  <c r="E17" i="3"/>
  <c r="H69" i="3"/>
  <c r="H71" i="3"/>
  <c r="H59" i="3"/>
  <c r="H57" i="3"/>
  <c r="B213" i="23" s="1"/>
  <c r="H11" i="3"/>
  <c r="F24" i="3"/>
  <c r="H23" i="3"/>
  <c r="C18" i="3"/>
  <c r="C30" i="3"/>
  <c r="E29" i="3"/>
  <c r="C71" i="3"/>
  <c r="C11" i="3"/>
  <c r="F17" i="3"/>
  <c r="H16" i="3"/>
  <c r="C23" i="3"/>
  <c r="F29" i="3"/>
  <c r="H29" i="3" s="1"/>
  <c r="H28" i="3"/>
  <c r="C54" i="3"/>
  <c r="E54" i="3" s="1"/>
  <c r="C6" i="3"/>
  <c r="C57" i="3"/>
  <c r="F63" i="3"/>
  <c r="H72" i="3"/>
  <c r="H12" i="3"/>
  <c r="H22" i="3"/>
  <c r="H38" i="3"/>
  <c r="H50" i="3"/>
  <c r="H53" i="3"/>
  <c r="H56" i="3"/>
  <c r="B214" i="23" s="1"/>
  <c r="H68" i="3"/>
  <c r="H70" i="3"/>
  <c r="H58" i="3"/>
  <c r="H10" i="3"/>
  <c r="B161" i="23" s="1"/>
  <c r="F13" i="3"/>
  <c r="K163" i="23" l="1"/>
  <c r="E65" i="3"/>
  <c r="B208" i="23"/>
  <c r="B162" i="23"/>
  <c r="B169" i="23"/>
  <c r="B160" i="23"/>
  <c r="B207" i="23"/>
  <c r="B126" i="23"/>
  <c r="M155" i="23"/>
  <c r="M156" i="23"/>
  <c r="I172" i="23"/>
  <c r="L164" i="23"/>
  <c r="L163" i="23"/>
  <c r="I164" i="23"/>
  <c r="B146" i="23"/>
  <c r="B137" i="23"/>
  <c r="B136" i="23"/>
  <c r="B145" i="23"/>
  <c r="B180" i="23"/>
  <c r="B139" i="23"/>
  <c r="B144" i="23"/>
  <c r="B147" i="23"/>
  <c r="B138" i="23"/>
  <c r="B135" i="23"/>
  <c r="B179" i="23"/>
  <c r="B148" i="23"/>
  <c r="M139" i="23"/>
  <c r="H24" i="3"/>
  <c r="F25" i="3"/>
  <c r="F30" i="3"/>
  <c r="H30" i="3" s="1"/>
  <c r="F14" i="3"/>
  <c r="H14" i="3" s="1"/>
  <c r="H13" i="3"/>
  <c r="F64" i="3"/>
  <c r="H63" i="3"/>
  <c r="B125" i="23" s="1"/>
  <c r="C58" i="3"/>
  <c r="E57" i="3"/>
  <c r="C7" i="3"/>
  <c r="E6" i="3"/>
  <c r="F18" i="3"/>
  <c r="H17" i="3"/>
  <c r="C72" i="3"/>
  <c r="E72" i="3" s="1"/>
  <c r="E71" i="3"/>
  <c r="C31" i="3"/>
  <c r="E30" i="3"/>
  <c r="C19" i="3"/>
  <c r="E18" i="3"/>
  <c r="F6" i="3"/>
  <c r="H5" i="3"/>
  <c r="C24" i="3"/>
  <c r="E23" i="3"/>
  <c r="C12" i="3"/>
  <c r="E11" i="3"/>
  <c r="E35" i="3"/>
  <c r="B168" i="23" l="1"/>
  <c r="B163" i="23"/>
  <c r="B164" i="23"/>
  <c r="B152" i="23"/>
  <c r="E24" i="3"/>
  <c r="C25" i="3"/>
  <c r="H64" i="3"/>
  <c r="F65" i="3"/>
  <c r="F31" i="3"/>
  <c r="H31" i="3" s="1"/>
  <c r="F26" i="3"/>
  <c r="H26" i="3" s="1"/>
  <c r="H25" i="3"/>
  <c r="F7" i="3"/>
  <c r="H6" i="3"/>
  <c r="C20" i="3"/>
  <c r="E20" i="3" s="1"/>
  <c r="E19" i="3"/>
  <c r="C32" i="3"/>
  <c r="E32" i="3" s="1"/>
  <c r="E31" i="3"/>
  <c r="F19" i="3"/>
  <c r="H18" i="3"/>
  <c r="C8" i="3"/>
  <c r="E8" i="3" s="1"/>
  <c r="E7" i="3"/>
  <c r="C59" i="3"/>
  <c r="E58" i="3"/>
  <c r="C13" i="3"/>
  <c r="E12" i="3"/>
  <c r="B170" i="23" l="1"/>
  <c r="B127" i="23"/>
  <c r="B154" i="23"/>
  <c r="F32" i="3"/>
  <c r="H32" i="3" s="1"/>
  <c r="C26" i="3"/>
  <c r="E26" i="3" s="1"/>
  <c r="E25" i="3"/>
  <c r="C14" i="3"/>
  <c r="E14" i="3" s="1"/>
  <c r="E13" i="3"/>
  <c r="F66" i="3"/>
  <c r="H66" i="3" s="1"/>
  <c r="H65" i="3"/>
  <c r="C60" i="3"/>
  <c r="E60" i="3" s="1"/>
  <c r="E59" i="3"/>
  <c r="F20" i="3"/>
  <c r="H20" i="3" s="1"/>
  <c r="H19" i="3"/>
  <c r="H7" i="3"/>
  <c r="F8" i="3"/>
  <c r="H8" i="3" s="1"/>
  <c r="B171" i="23" l="1"/>
  <c r="B172" i="23"/>
  <c r="B128" i="23"/>
  <c r="B129" i="23"/>
  <c r="B156" i="23"/>
  <c r="B155" i="23"/>
</calcChain>
</file>

<file path=xl/sharedStrings.xml><?xml version="1.0" encoding="utf-8"?>
<sst xmlns="http://schemas.openxmlformats.org/spreadsheetml/2006/main" count="315" uniqueCount="140">
  <si>
    <t>Slno</t>
  </si>
  <si>
    <t>Total # filled the form</t>
  </si>
  <si>
    <t>Actuals</t>
  </si>
  <si>
    <t>% satisfaction</t>
  </si>
  <si>
    <t>The Process of fixing appointment with the doctor</t>
  </si>
  <si>
    <t>Overall services provided by the AyurVAID Reception team</t>
  </si>
  <si>
    <t>Please rate your overall satisfaction with your consultation</t>
  </si>
  <si>
    <t>Please rate your overall satisfaction with AyurVAID</t>
  </si>
  <si>
    <t xml:space="preserve"> Overall services provided by the Pharmacy and Billing team </t>
  </si>
  <si>
    <t>The interval of time before the doctor could be met</t>
  </si>
  <si>
    <t>Time spent by the doctor with you for screening and main consultation</t>
  </si>
  <si>
    <t>Do you think your health needs have been understood clearly by the doctor?</t>
  </si>
  <si>
    <t>Yes</t>
  </si>
  <si>
    <t>No</t>
  </si>
  <si>
    <t xml:space="preserve">During your consultation, have you received clear information about </t>
  </si>
  <si>
    <t>Your diagnosis</t>
  </si>
  <si>
    <t>Your risk factors</t>
  </si>
  <si>
    <t>Dos and Don't for you</t>
  </si>
  <si>
    <t>Diet-lifestyle-medicine-treatment process</t>
  </si>
  <si>
    <t>Health outcomes that you may expect</t>
  </si>
  <si>
    <t>The review date</t>
  </si>
  <si>
    <t>Probability that you will recommend your friends and relatives to visit AyurVAID</t>
  </si>
  <si>
    <t>a) 100%</t>
  </si>
  <si>
    <t>b) 80%</t>
  </si>
  <si>
    <t>c) 60%</t>
  </si>
  <si>
    <t>d) 40%</t>
  </si>
  <si>
    <t>e) 20%</t>
  </si>
  <si>
    <t>Comments</t>
  </si>
  <si>
    <t>Registration Date</t>
  </si>
  <si>
    <t>Internal ID</t>
  </si>
  <si>
    <t>ID</t>
  </si>
  <si>
    <t>Patient Name</t>
  </si>
  <si>
    <t>Date of Feedback Call</t>
  </si>
  <si>
    <t>Patient ID</t>
  </si>
  <si>
    <t>AVH Centre</t>
  </si>
  <si>
    <t>Name of Physician</t>
  </si>
  <si>
    <t>The Process of fixing apptnt with Doctor</t>
  </si>
  <si>
    <t>Overall Services (Reception team)</t>
  </si>
  <si>
    <t>Overall Services (Pharmacy and Billing)</t>
  </si>
  <si>
    <t>Interval Time b4 the Doctor Could Be Met</t>
  </si>
  <si>
    <t>Time spent by the PP for screening &amp; Con</t>
  </si>
  <si>
    <t>State why if any of the rating &lt;= Good</t>
  </si>
  <si>
    <t>Your diagnosis?</t>
  </si>
  <si>
    <t>Your Risk factors?</t>
  </si>
  <si>
    <t>Dos and Don'ts?</t>
  </si>
  <si>
    <t>Very satisfactory (100%)</t>
  </si>
  <si>
    <t>Date Created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</si>
  <si>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</si>
  <si>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</si>
  <si>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</si>
  <si>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</si>
  <si>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</si>
  <si>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</si>
  <si>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</si>
  <si>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</si>
  <si>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</si>
  <si>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</si>
  <si>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</si>
  <si>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</si>
  <si>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</si>
  <si>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NA</t>
  </si>
  <si>
    <t xml:space="preserve"># PP1 Registration </t>
  </si>
  <si>
    <t># CSAT Submission</t>
  </si>
  <si>
    <t>% of CSAT coverage (Consultations)</t>
  </si>
  <si>
    <t>CSAT</t>
  </si>
  <si>
    <t>Customer Satisfaction-2018</t>
  </si>
  <si>
    <t>Search ID</t>
  </si>
  <si>
    <t>Description</t>
  </si>
  <si>
    <t>Criteria</t>
  </si>
  <si>
    <t>CsatPostConsult</t>
  </si>
  <si>
    <t>PP1</t>
  </si>
  <si>
    <t>Center and Full Year: Jan-22 to Dec-22</t>
  </si>
  <si>
    <t>Diagnosis</t>
  </si>
  <si>
    <t xml:space="preserve"> Risk factors</t>
  </si>
  <si>
    <t>a) Excellent - 100%</t>
  </si>
  <si>
    <t>b) V.Good - 80%</t>
  </si>
  <si>
    <t>C) Good - 60%</t>
  </si>
  <si>
    <t>d) Fair - 40%</t>
  </si>
  <si>
    <t>e) Poor - 20%</t>
  </si>
  <si>
    <t xml:space="preserve"> Overall satisfaction with AVH</t>
  </si>
  <si>
    <t>AyurVAID Centre</t>
  </si>
  <si>
    <t>Physician to be Met</t>
  </si>
  <si>
    <t>First Name</t>
  </si>
  <si>
    <t>Last Name</t>
  </si>
  <si>
    <t>Name</t>
  </si>
  <si>
    <t>NFT</t>
  </si>
  <si>
    <t>Presenting Complaint</t>
  </si>
  <si>
    <t>Severity</t>
  </si>
  <si>
    <t>Chronicity</t>
  </si>
  <si>
    <t>Episode</t>
  </si>
  <si>
    <t>Are You Diabetic?</t>
  </si>
  <si>
    <t>Diabetes Type</t>
  </si>
  <si>
    <t>Covered by Insurance?</t>
  </si>
  <si>
    <t>Corporate/Retail</t>
  </si>
  <si>
    <t>Insurance Company</t>
  </si>
  <si>
    <t>TPA</t>
  </si>
  <si>
    <t>Employer Name</t>
  </si>
  <si>
    <t>Employer-Others</t>
  </si>
  <si>
    <t>Salutation</t>
  </si>
  <si>
    <t>Gender</t>
  </si>
  <si>
    <t>Phone</t>
  </si>
  <si>
    <t>Home Phone</t>
  </si>
  <si>
    <t>Email</t>
  </si>
  <si>
    <t>Date of Birth</t>
  </si>
  <si>
    <t>City</t>
  </si>
  <si>
    <t>Locality</t>
  </si>
  <si>
    <t>Contacted By Ayurvaid</t>
  </si>
  <si>
    <t>Preferred time of contact</t>
  </si>
  <si>
    <t>Ayurveda Experience</t>
  </si>
  <si>
    <t>Hear about Ayurvaid</t>
  </si>
  <si>
    <t>Consent of the Patient</t>
  </si>
  <si>
    <t>Status</t>
  </si>
  <si>
    <t>Lead Category</t>
  </si>
  <si>
    <t>Sub Category</t>
  </si>
  <si>
    <t>Lead Source</t>
  </si>
  <si>
    <t>DSQ Screening done ?</t>
  </si>
  <si>
    <t>Stage</t>
  </si>
  <si>
    <t>Disease (Allopathy)</t>
  </si>
  <si>
    <t>Age (Yrs)</t>
  </si>
  <si>
    <t>Other</t>
  </si>
  <si>
    <t>`</t>
  </si>
  <si>
    <t>493/1719</t>
  </si>
  <si>
    <t>HRBR</t>
  </si>
  <si>
    <t>Kalmatia</t>
  </si>
  <si>
    <t>Treatment taken at HRBR</t>
  </si>
  <si>
    <t>Dr. Vrashank Gaitonde (HRBR)</t>
  </si>
  <si>
    <t>Not Employed</t>
  </si>
  <si>
    <t>Female</t>
  </si>
  <si>
    <t>Website</t>
  </si>
  <si>
    <t>SINGH</t>
  </si>
  <si>
    <t>Kanpur</t>
  </si>
  <si>
    <t>RENUKA</t>
  </si>
  <si>
    <t>CIF000021472</t>
  </si>
  <si>
    <t>Dr. Adarsh T (AVK)</t>
  </si>
  <si>
    <t>Consultation Patient</t>
  </si>
  <si>
    <t>CONSULTATION PATIENT-W2 / Estimate</t>
  </si>
  <si>
    <t>RENUKA SINGH</t>
  </si>
  <si>
    <t>000266388</t>
  </si>
  <si>
    <t>843/1764</t>
  </si>
  <si>
    <t>Submitted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</si>
</sst>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9"/>
      <color indexed="8"/>
      <name val="Trebuchet MS"/>
      <family val="2"/>
    </font>
    <font>
      <sz val="9"/>
      <color indexed="8"/>
      <name val="Trebuchet MS"/>
      <family val="2"/>
    </font>
    <font>
      <b/>
      <sz val="9"/>
      <name val="Trebuchet MS"/>
      <family val="2"/>
    </font>
    <font>
      <sz val="9"/>
      <color theme="1"/>
      <name val="Trebuchet MS"/>
      <family val="2"/>
    </font>
    <font>
      <b/>
      <sz val="7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1B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wrapText="1"/>
    </xf>
    <xf numFmtId="14" fontId="0" fillId="0" borderId="0" xfId="0" applyNumberFormat="1"/>
    <xf numFmtId="22" fontId="0" fillId="0" borderId="0" xfId="0" applyNumberFormat="1"/>
    <xf numFmtId="9" fontId="0" fillId="0" borderId="0" xfId="0" applyNumberFormat="1"/>
    <xf numFmtId="0" fontId="0" fillId="0" borderId="4" xfId="0" applyBorder="1"/>
    <xf numFmtId="9" fontId="0" fillId="0" borderId="4" xfId="0" applyNumberFormat="1" applyBorder="1"/>
    <xf numFmtId="0" fontId="0" fillId="0" borderId="0" xfId="0" applyAlignment="1">
      <alignment horizontal="center"/>
    </xf>
    <xf numFmtId="0" fontId="7" fillId="5" borderId="6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5" fillId="3" borderId="0" xfId="0" applyFont="1" applyFill="1" applyAlignment="1">
      <alignment horizontal="center" vertical="center"/>
    </xf>
    <xf numFmtId="0" fontId="9" fillId="0" borderId="0" xfId="0" applyFont="1"/>
    <xf numFmtId="17" fontId="0" fillId="0" borderId="0" xfId="0" applyNumberFormat="1"/>
    <xf numFmtId="0" fontId="8" fillId="6" borderId="0" xfId="0" applyFont="1" applyFill="1"/>
    <xf numFmtId="0" fontId="9" fillId="0" borderId="4" xfId="0" applyFont="1" applyBorder="1"/>
    <xf numFmtId="0" fontId="3" fillId="8" borderId="0" xfId="0" applyFont="1" applyFill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8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3" fillId="0" borderId="4" xfId="0" applyFont="1" applyBorder="1" applyAlignment="1">
      <alignment vertical="center" wrapText="1"/>
    </xf>
    <xf numFmtId="9" fontId="0" fillId="0" borderId="4" xfId="0" applyNumberFormat="1" applyBorder="1" applyAlignment="1">
      <alignment vertical="center"/>
    </xf>
    <xf numFmtId="17" fontId="6" fillId="4" borderId="4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vertical="center"/>
    </xf>
    <xf numFmtId="0" fontId="8" fillId="0" borderId="0" xfId="0" applyFont="1"/>
    <xf numFmtId="0" fontId="8" fillId="6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18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17" fontId="6" fillId="7" borderId="5" xfId="0" applyNumberFormat="1" applyFont="1" applyFill="1" applyBorder="1" applyAlignment="1">
      <alignment horizontal="center" vertical="center"/>
    </xf>
    <xf numFmtId="17" fontId="6" fillId="7" borderId="2" xfId="0" applyNumberFormat="1" applyFont="1" applyFill="1" applyBorder="1" applyAlignment="1">
      <alignment horizontal="center" vertical="center"/>
    </xf>
    <xf numFmtId="17" fontId="6" fillId="7" borderId="7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1D72F"/>
      <color rgb="FFFAA6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IN">
                <a:latin typeface="+mj-lt"/>
              </a:rPr>
              <a:t>Overall Satisfaction - AVH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994251431419105E-2"/>
          <c:y val="0.17858124434197586"/>
          <c:w val="0.88006738883666935"/>
          <c:h val="0.49164298506931681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Graph!$A$125</c:f>
              <c:strCache>
                <c:ptCount val="1"/>
                <c:pt idx="0">
                  <c:v>b) V.Good - 80%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Graph!$B$123:$M$123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Graph!$B$125:$M$125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ED-4736-B264-3D4D9DAD2F36}"/>
            </c:ext>
          </c:extLst>
        </c:ser>
        <c:ser>
          <c:idx val="4"/>
          <c:order val="2"/>
          <c:tx>
            <c:strRef>
              <c:f>Graph!$A$126</c:f>
              <c:strCache>
                <c:ptCount val="1"/>
                <c:pt idx="0">
                  <c:v>a) Excellent - 100%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Graph!$B$123:$M$123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Graph!$B$126:$M$126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ED-4736-B264-3D4D9DAD2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783415984"/>
        <c:axId val="-1783431760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Graph!$A$124</c15:sqref>
                        </c15:formulaRef>
                      </c:ext>
                    </c:extLst>
                    <c:strCache>
                      <c:ptCount val="1"/>
                      <c:pt idx="0">
                        <c:v>Please rate your overall satisfaction with your consultation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trendline>
                  <c:spPr>
                    <a:ln w="19050" cap="rnd">
                      <a:solidFill>
                        <a:srgbClr val="92D050"/>
                      </a:solidFill>
                    </a:ln>
                    <a:effectLst/>
                  </c:spPr>
                  <c:trendlineType val="movingAvg"/>
                  <c:period val="2"/>
                  <c:dispRSqr val="0"/>
                  <c:dispEq val="0"/>
                </c:trendline>
                <c:cat>
                  <c:numRef>
                    <c:extLst>
                      <c:ext uri="{02D57815-91ED-43cb-92C2-25804820EDAC}">
                        <c15:formulaRef>
                          <c15:sqref>Graph!$B$123:$M$123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Graph!$B$124:$M$124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B2ED-4736-B264-3D4D9DAD2F36}"/>
                  </c:ext>
                </c:extLst>
              </c15:ser>
            </c15:filteredBarSeries>
            <c15:filteredBar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Graph!$A$127</c15:sqref>
                        </c15:formulaRef>
                      </c:ext>
                    </c:extLst>
                    <c:strCache>
                      <c:ptCount val="1"/>
                      <c:pt idx="0">
                        <c:v>C) Good - 60%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Graph!$B$123:$M$123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Graph!$B$127:$M$127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2ED-4736-B264-3D4D9DAD2F36}"/>
                  </c:ext>
                </c:extLst>
              </c15:ser>
            </c15:filteredBarSeries>
            <c15:filteredBa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Graph!$A$128</c15:sqref>
                        </c15:formulaRef>
                      </c:ext>
                    </c:extLst>
                    <c:strCache>
                      <c:ptCount val="1"/>
                      <c:pt idx="0">
                        <c:v>d) Fair - 40%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Graph!$B$123:$M$123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Graph!$B$128:$M$128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2ED-4736-B264-3D4D9DAD2F3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Graph!$A$129</c15:sqref>
                        </c15:formulaRef>
                      </c:ext>
                    </c:extLst>
                    <c:strCache>
                      <c:ptCount val="1"/>
                      <c:pt idx="0">
                        <c:v>e) Poor - 20%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Graph!$B$123:$M$123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Graph!$B$129:$M$129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2ED-4736-B264-3D4D9DAD2F36}"/>
                  </c:ext>
                </c:extLst>
              </c15:ser>
            </c15:filteredBarSeries>
          </c:ext>
        </c:extLst>
      </c:barChart>
      <c:dateAx>
        <c:axId val="-17834159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31760"/>
        <c:crosses val="autoZero"/>
        <c:auto val="1"/>
        <c:lblOffset val="100"/>
        <c:baseTimeUnit val="months"/>
      </c:dateAx>
      <c:valAx>
        <c:axId val="-178343176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1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Probability  to recommend  friends and relatives to visit AVH</a:t>
            </a:r>
          </a:p>
        </c:rich>
      </c:tx>
      <c:layout>
        <c:manualLayout>
          <c:xMode val="edge"/>
          <c:yMode val="edge"/>
          <c:x val="0.158143738130294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Graph!$A$135</c:f>
              <c:strCache>
                <c:ptCount val="1"/>
                <c:pt idx="0">
                  <c:v>b) 80%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Graph!$B$133:$M$133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Graph!$B$135:$M$135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70-4AA0-AEB3-CF46B4229BA9}"/>
            </c:ext>
          </c:extLst>
        </c:ser>
        <c:ser>
          <c:idx val="2"/>
          <c:order val="2"/>
          <c:tx>
            <c:strRef>
              <c:f>Graph!$A$136</c:f>
              <c:strCache>
                <c:ptCount val="1"/>
                <c:pt idx="0">
                  <c:v>a) 100%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Graph!$B$133:$M$133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Graph!$B$136:$M$136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38-42F2-9D74-FE28D71AA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783433936"/>
        <c:axId val="-17834328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Graph!$A$134</c15:sqref>
                        </c15:formulaRef>
                      </c:ext>
                    </c:extLst>
                    <c:strCache>
                      <c:ptCount val="1"/>
                      <c:pt idx="0">
                        <c:v>Probability that you will recommend your friends and relatives to visit AyurVAID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solidFill>
                      <a:srgbClr val="92D05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Graph!$B$133:$M$133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Graph!$B$134:$M$134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F70-4AA0-AEB3-CF46B4229BA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Graph!$A$137</c15:sqref>
                        </c15:formulaRef>
                      </c:ext>
                    </c:extLst>
                    <c:strCache>
                      <c:ptCount val="1"/>
                      <c:pt idx="0">
                        <c:v>c) 60%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Graph!$B$133:$M$133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Graph!$B$137:$M$137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138-42F2-9D74-FE28D71AAD2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Graph!$A$138</c15:sqref>
                        </c15:formulaRef>
                      </c:ext>
                    </c:extLst>
                    <c:strCache>
                      <c:ptCount val="1"/>
                      <c:pt idx="0">
                        <c:v>d) 40%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Graph!$B$133:$M$133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Graph!$B$138:$M$138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138-42F2-9D74-FE28D71AAD2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Graph!$A$139</c15:sqref>
                        </c15:formulaRef>
                      </c:ext>
                    </c:extLst>
                    <c:strCache>
                      <c:ptCount val="1"/>
                      <c:pt idx="0">
                        <c:v>e) 20%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Graph!$B$133:$M$133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Graph!$B$139:$M$139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138-42F2-9D74-FE28D71AAD20}"/>
                  </c:ext>
                </c:extLst>
              </c15:ser>
            </c15:filteredBarSeries>
          </c:ext>
        </c:extLst>
      </c:barChart>
      <c:dateAx>
        <c:axId val="-17834339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32848"/>
        <c:crosses val="autoZero"/>
        <c:auto val="1"/>
        <c:lblOffset val="100"/>
        <c:baseTimeUnit val="months"/>
      </c:dateAx>
      <c:valAx>
        <c:axId val="-1783432848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3393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 Satisfaction - Consultation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875044128255894E-2"/>
          <c:y val="0.19199550231421206"/>
          <c:w val="0.88053496236946993"/>
          <c:h val="0.4504572058955412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Graph!$A$144</c:f>
              <c:strCache>
                <c:ptCount val="1"/>
                <c:pt idx="0">
                  <c:v>b) V.Good - 80%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Graph!$B$142:$M$142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Graph!$B$144:$M$144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0C-4046-8B19-B263F0170435}"/>
            </c:ext>
          </c:extLst>
        </c:ser>
        <c:ser>
          <c:idx val="2"/>
          <c:order val="2"/>
          <c:tx>
            <c:strRef>
              <c:f>Graph!$A$145</c:f>
              <c:strCache>
                <c:ptCount val="1"/>
                <c:pt idx="0">
                  <c:v>a) Excellent - 100%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Graph!$B$142:$M$142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Graph!$B$145:$M$145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5E-46CA-BDFB-5AA1111C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783411632"/>
        <c:axId val="-17834257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Graph!$A$143</c15:sqref>
                        </c15:formulaRef>
                      </c:ext>
                    </c:extLst>
                    <c:strCache>
                      <c:ptCount val="1"/>
                      <c:pt idx="0">
                        <c:v>Please rate your overall satisfaction with your consultation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Graph!$B$142:$M$142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Graph!$B$143:$M$143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90C-4046-8B19-B263F017043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Graph!$A$146</c15:sqref>
                        </c15:formulaRef>
                      </c:ext>
                    </c:extLst>
                    <c:strCache>
                      <c:ptCount val="1"/>
                      <c:pt idx="0">
                        <c:v>C) Good - 60%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Graph!$B$142:$M$142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Graph!$B$146:$M$146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95E-46CA-BDFB-5AA1111CA28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Graph!$A$147</c15:sqref>
                        </c15:formulaRef>
                      </c:ext>
                    </c:extLst>
                    <c:strCache>
                      <c:ptCount val="1"/>
                      <c:pt idx="0">
                        <c:v>d) Fair - 40%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Graph!$B$142:$M$142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Graph!$B$147:$M$147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95E-46CA-BDFB-5AA1111CA28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Graph!$A$148</c15:sqref>
                        </c15:formulaRef>
                      </c:ext>
                    </c:extLst>
                    <c:strCache>
                      <c:ptCount val="1"/>
                      <c:pt idx="0">
                        <c:v>e) Poor - 20%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Graph!$B$142:$M$142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Graph!$B$148:$M$148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95E-46CA-BDFB-5AA1111CA28F}"/>
                  </c:ext>
                </c:extLst>
              </c15:ser>
            </c15:filteredBarSeries>
          </c:ext>
        </c:extLst>
      </c:barChart>
      <c:dateAx>
        <c:axId val="-1783411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25776"/>
        <c:crosses val="autoZero"/>
        <c:auto val="1"/>
        <c:lblOffset val="100"/>
        <c:baseTimeUnit val="months"/>
      </c:dateAx>
      <c:valAx>
        <c:axId val="-1783425776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1163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CSAT C+3 Coverage </a:t>
            </a:r>
          </a:p>
        </c:rich>
      </c:tx>
      <c:layout>
        <c:manualLayout>
          <c:xMode val="edge"/>
          <c:yMode val="edge"/>
          <c:x val="0.33306946487951838"/>
          <c:y val="5.5932501841624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080801340510407E-2"/>
          <c:y val="0.16929122868778249"/>
          <c:w val="0.87415695214689537"/>
          <c:h val="0.689257579797931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Graph!$A$121</c:f>
              <c:strCache>
                <c:ptCount val="1"/>
                <c:pt idx="0">
                  <c:v>% of CSAT coverage (Consultations)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Graph!$B$118:$M$118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Graph!$B$121:$M$121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0-4883-BA5A-48744D5C9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783437200"/>
        <c:axId val="-1783425232"/>
      </c:barChart>
      <c:dateAx>
        <c:axId val="-17834372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25232"/>
        <c:crosses val="autoZero"/>
        <c:auto val="1"/>
        <c:lblOffset val="100"/>
        <c:baseTimeUnit val="months"/>
      </c:dateAx>
      <c:valAx>
        <c:axId val="-178342523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372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Process of fixing appointment with the doctor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Graph!$A$152</c:f>
              <c:strCache>
                <c:ptCount val="1"/>
                <c:pt idx="0">
                  <c:v>b) V.Good - 80%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Graph!$B$150:$M$150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Graph!$B$152:$M$152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FA-4833-A229-0678C22A62DA}"/>
            </c:ext>
          </c:extLst>
        </c:ser>
        <c:ser>
          <c:idx val="2"/>
          <c:order val="2"/>
          <c:tx>
            <c:strRef>
              <c:f>Graph!$A$153</c:f>
              <c:strCache>
                <c:ptCount val="1"/>
                <c:pt idx="0">
                  <c:v>a) Excellent - 100%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Graph!$B$150:$M$150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Graph!$B$153:$M$153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DE-4354-A175-1F3FBD84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783436112"/>
        <c:axId val="-17834236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Graph!$A$151</c15:sqref>
                        </c15:formulaRef>
                      </c:ext>
                    </c:extLst>
                    <c:strCache>
                      <c:ptCount val="1"/>
                      <c:pt idx="0">
                        <c:v>The Process of fixing appointment with the doctor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Graph!$B$150:$M$150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Graph!$B$151:$M$151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AFA-4833-A229-0678C22A62D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Graph!$A$154</c15:sqref>
                        </c15:formulaRef>
                      </c:ext>
                    </c:extLst>
                    <c:strCache>
                      <c:ptCount val="1"/>
                      <c:pt idx="0">
                        <c:v>C) Good - 60%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Graph!$B$150:$M$150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Graph!$B$154:$M$154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DDE-4354-A175-1F3FBD8481F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Graph!$A$155</c15:sqref>
                        </c15:formulaRef>
                      </c:ext>
                    </c:extLst>
                    <c:strCache>
                      <c:ptCount val="1"/>
                      <c:pt idx="0">
                        <c:v>d) Fair - 40%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Graph!$B$150:$M$150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Graph!$B$155:$M$155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DDE-4354-A175-1F3FBD8481F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Graph!$A$156</c15:sqref>
                        </c15:formulaRef>
                      </c:ext>
                    </c:extLst>
                    <c:strCache>
                      <c:ptCount val="1"/>
                      <c:pt idx="0">
                        <c:v>e) Poor - 20%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Graph!$B$150:$M$150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Graph!$B$156:$M$156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DDE-4354-A175-1F3FBD8481F2}"/>
                  </c:ext>
                </c:extLst>
              </c15:ser>
            </c15:filteredBarSeries>
          </c:ext>
        </c:extLst>
      </c:barChart>
      <c:dateAx>
        <c:axId val="-17834361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23600"/>
        <c:crosses val="autoZero"/>
        <c:auto val="1"/>
        <c:lblOffset val="100"/>
        <c:baseTimeUnit val="months"/>
      </c:dateAx>
      <c:valAx>
        <c:axId val="-178342360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3611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Overall services provided by the AyurVAID Reception team</a:t>
            </a:r>
            <a:r>
              <a:rPr lang="en-IN" sz="1600" b="1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Graph!$A$160</c:f>
              <c:strCache>
                <c:ptCount val="1"/>
                <c:pt idx="0">
                  <c:v>b) V.Good - 80%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Graph!$B$158:$M$158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Graph!$B$160:$M$160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75-49F9-A2F7-B243C152A376}"/>
            </c:ext>
          </c:extLst>
        </c:ser>
        <c:ser>
          <c:idx val="2"/>
          <c:order val="2"/>
          <c:tx>
            <c:strRef>
              <c:f>Graph!$A$161</c:f>
              <c:strCache>
                <c:ptCount val="1"/>
                <c:pt idx="0">
                  <c:v>a) Excellent - 100%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Graph!$B$158:$M$158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Graph!$B$161:$M$161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7A-4B83-B386-A565AA53E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783407280"/>
        <c:axId val="-17834225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Graph!$A$159</c15:sqref>
                        </c15:formulaRef>
                      </c:ext>
                    </c:extLst>
                    <c:strCache>
                      <c:ptCount val="1"/>
                      <c:pt idx="0">
                        <c:v>Overall services provided by the AyurVAID Reception team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Graph!$B$158:$M$158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Graph!$B$159:$M$159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575-49F9-A2F7-B243C152A37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Graph!$A$162</c15:sqref>
                        </c15:formulaRef>
                      </c:ext>
                    </c:extLst>
                    <c:strCache>
                      <c:ptCount val="1"/>
                      <c:pt idx="0">
                        <c:v>C) Good - 60%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Graph!$B$158:$M$158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Graph!$B$162:$M$162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F7A-4B83-B386-A565AA53E18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Graph!$A$163</c15:sqref>
                        </c15:formulaRef>
                      </c:ext>
                    </c:extLst>
                    <c:strCache>
                      <c:ptCount val="1"/>
                      <c:pt idx="0">
                        <c:v>d) Fair - 40%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Graph!$B$158:$M$158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Graph!$B$163:$M$163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F7A-4B83-B386-A565AA53E18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Graph!$A$164</c15:sqref>
                        </c15:formulaRef>
                      </c:ext>
                    </c:extLst>
                    <c:strCache>
                      <c:ptCount val="1"/>
                      <c:pt idx="0">
                        <c:v>e) Poor - 20%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Graph!$B$158:$M$158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Graph!$B$164:$M$164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F7A-4B83-B386-A565AA53E186}"/>
                  </c:ext>
                </c:extLst>
              </c15:ser>
            </c15:filteredBarSeries>
          </c:ext>
        </c:extLst>
      </c:barChart>
      <c:dateAx>
        <c:axId val="-17834072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22512"/>
        <c:crosses val="autoZero"/>
        <c:auto val="1"/>
        <c:lblOffset val="100"/>
        <c:baseTimeUnit val="months"/>
      </c:dateAx>
      <c:valAx>
        <c:axId val="-178342251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0728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 Overall services provided by the Pharmacy and Billing team </a:t>
            </a:r>
            <a:r>
              <a:rPr lang="en-IN" sz="1600" b="1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Graph!$A$160</c:f>
              <c:strCache>
                <c:ptCount val="1"/>
                <c:pt idx="0">
                  <c:v>b) V.Good - 80%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Graph!$B$158:$M$158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Graph!$B$160:$M$160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FE-4BC7-B63E-04B70803FB12}"/>
            </c:ext>
          </c:extLst>
        </c:ser>
        <c:ser>
          <c:idx val="2"/>
          <c:order val="2"/>
          <c:tx>
            <c:strRef>
              <c:f>Graph!$A$161</c:f>
              <c:strCache>
                <c:ptCount val="1"/>
                <c:pt idx="0">
                  <c:v>a) Excellent - 100%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Graph!$B$158:$M$158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Graph!$B$161:$M$161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08-4BC1-877D-3BD0B404E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783410000"/>
        <c:axId val="-17834170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Graph!$A$159</c15:sqref>
                        </c15:formulaRef>
                      </c:ext>
                    </c:extLst>
                    <c:strCache>
                      <c:ptCount val="1"/>
                      <c:pt idx="0">
                        <c:v>Overall services provided by the AyurVAID Reception team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Graph!$B$158:$M$158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Graph!$B$159:$M$159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2FE-4BC7-B63E-04B70803FB1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Graph!$A$162</c15:sqref>
                        </c15:formulaRef>
                      </c:ext>
                    </c:extLst>
                    <c:strCache>
                      <c:ptCount val="1"/>
                      <c:pt idx="0">
                        <c:v>C) Good - 60%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Graph!$B$158:$M$158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Graph!$B$162:$M$162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08-4BC1-877D-3BD0B404E66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Graph!$A$163</c15:sqref>
                        </c15:formulaRef>
                      </c:ext>
                    </c:extLst>
                    <c:strCache>
                      <c:ptCount val="1"/>
                      <c:pt idx="0">
                        <c:v>d) Fair - 40%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Graph!$B$158:$M$158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Graph!$B$163:$M$163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08-4BC1-877D-3BD0B404E66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Graph!$A$164</c15:sqref>
                        </c15:formulaRef>
                      </c:ext>
                    </c:extLst>
                    <c:strCache>
                      <c:ptCount val="1"/>
                      <c:pt idx="0">
                        <c:v>e) Poor - 20%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Graph!$B$158:$M$158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Graph!$B$164:$M$164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08-4BC1-877D-3BD0B404E66E}"/>
                  </c:ext>
                </c:extLst>
              </c15:ser>
            </c15:filteredBarSeries>
          </c:ext>
        </c:extLst>
      </c:barChart>
      <c:dateAx>
        <c:axId val="-17834100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17072"/>
        <c:crosses val="autoZero"/>
        <c:auto val="1"/>
        <c:lblOffset val="100"/>
        <c:baseTimeUnit val="months"/>
      </c:dateAx>
      <c:valAx>
        <c:axId val="-178341707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100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During  Consultation Clear Information About: Diagnosis </a:t>
            </a:r>
            <a:r>
              <a:rPr lang="en-IN" sz="1600" b="1" i="0" u="none" strike="noStrike" baseline="0"/>
              <a:t> </a:t>
            </a:r>
            <a:endParaRPr lang="en-IN"/>
          </a:p>
        </c:rich>
      </c:tx>
      <c:layout>
        <c:manualLayout>
          <c:xMode val="edge"/>
          <c:yMode val="edge"/>
          <c:x val="0.22249980532538149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823381452318459"/>
          <c:y val="0.27097222222222228"/>
          <c:w val="0.87232174103237092"/>
          <c:h val="0.4371598862642169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Graph!$A$179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Graph!$B$177:$M$177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Graph!$B$179:$M$179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AE-49AA-A429-8CA019238889}"/>
            </c:ext>
          </c:extLst>
        </c:ser>
        <c:ser>
          <c:idx val="2"/>
          <c:order val="2"/>
          <c:tx>
            <c:strRef>
              <c:f>Graph!$A$180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Graph!$B$177:$M$177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Graph!$B$180:$M$180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6B-4460-873B-A1370F745B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783420880"/>
        <c:axId val="-17834197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Graph!$A$178</c15:sqref>
                        </c15:formulaRef>
                      </c:ext>
                    </c:extLst>
                    <c:strCache>
                      <c:ptCount val="1"/>
                      <c:pt idx="0">
                        <c:v>Your diagnosis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rgbClr val="92D050"/>
                    </a:soli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1-A7AE-49AA-A429-8CA019238889}"/>
                    </c:ext>
                  </c:extLst>
                </c:dPt>
                <c:dPt>
                  <c:idx val="4"/>
                  <c:invertIfNegative val="0"/>
                  <c:bubble3D val="0"/>
                  <c:spPr>
                    <a:solidFill>
                      <a:srgbClr val="92D050"/>
                    </a:soli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3-A7AE-49AA-A429-8CA01923888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Graph!$B$177:$M$177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Graph!$B$178:$M$178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A7AE-49AA-A429-8CA019238889}"/>
                  </c:ext>
                </c:extLst>
              </c15:ser>
            </c15:filteredBarSeries>
          </c:ext>
        </c:extLst>
      </c:barChart>
      <c:dateAx>
        <c:axId val="-1783420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19792"/>
        <c:crosses val="autoZero"/>
        <c:auto val="1"/>
        <c:lblOffset val="100"/>
        <c:baseTimeUnit val="months"/>
      </c:dateAx>
      <c:valAx>
        <c:axId val="-178341979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2088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During  Consultation Clear Information About: Risk Factor</a:t>
            </a:r>
            <a:endParaRPr lang="en-IN"/>
          </a:p>
        </c:rich>
      </c:tx>
      <c:layout>
        <c:manualLayout>
          <c:xMode val="edge"/>
          <c:yMode val="edge"/>
          <c:x val="0.22249980532538149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823381452318459"/>
          <c:y val="0.27560185185185188"/>
          <c:w val="0.87232174103237092"/>
          <c:h val="0.4325302566345873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Graph!$A$187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Graph!$B$184:$M$184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Graph!$B$187:$M$187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B2-4B8B-8123-2569B95EA78E}"/>
            </c:ext>
          </c:extLst>
        </c:ser>
        <c:ser>
          <c:idx val="3"/>
          <c:order val="3"/>
          <c:tx>
            <c:strRef>
              <c:f>Graph!$A$188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Graph!$B$184:$M$184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Graph!$B$188:$M$188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B2-4B8B-8123-2569B95EA7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783412176"/>
        <c:axId val="-17834089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Graph!$A$185</c15:sqref>
                        </c15:formulaRef>
                      </c:ext>
                    </c:extLst>
                    <c:strCache>
                      <c:ptCount val="1"/>
                      <c:pt idx="0">
                        <c:v>Your risk factors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Graph!$B$184:$M$184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Graph!$B$185:$M$185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E43-43F6-9C72-44D6F009947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Graph!$A$186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Graph!$B$184:$M$184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Graph!$B$186:$M$186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E43-43F6-9C72-44D6F009947E}"/>
                  </c:ext>
                </c:extLst>
              </c15:ser>
            </c15:filteredBarSeries>
          </c:ext>
        </c:extLst>
      </c:barChart>
      <c:dateAx>
        <c:axId val="-17834121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08912"/>
        <c:crosses val="autoZero"/>
        <c:auto val="1"/>
        <c:lblOffset val="100"/>
        <c:baseTimeUnit val="months"/>
      </c:dateAx>
      <c:valAx>
        <c:axId val="-178340891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1217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During  Consultation Clear Information About: Dos and Don't For You</a:t>
            </a:r>
            <a:endParaRPr lang="en-IN"/>
          </a:p>
        </c:rich>
      </c:tx>
      <c:layout>
        <c:manualLayout>
          <c:xMode val="edge"/>
          <c:yMode val="edge"/>
          <c:x val="0.22249980532538149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823381452318459"/>
          <c:y val="0.28949074074074072"/>
          <c:w val="0.87232174103237092"/>
          <c:h val="0.4186413677456984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Graph!$A$195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Graph!$B$192:$M$192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Graph!$B$195:$M$195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9F-4019-8312-43629195D04D}"/>
            </c:ext>
          </c:extLst>
        </c:ser>
        <c:ser>
          <c:idx val="3"/>
          <c:order val="3"/>
          <c:tx>
            <c:strRef>
              <c:f>Graph!$A$196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Graph!$B$192:$M$192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Graph!$B$196:$M$196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9F-4019-8312-43629195D0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783408368"/>
        <c:axId val="-17834350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Graph!$A$193</c15:sqref>
                        </c15:formulaRef>
                      </c:ext>
                    </c:extLst>
                    <c:strCache>
                      <c:ptCount val="1"/>
                      <c:pt idx="0">
                        <c:v>Dos and Don't for you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Graph!$B$192:$M$192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Graph!$B$193:$M$193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BE2-49E9-9AB8-9E5ECC8CAF3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Graph!$A$194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Graph!$B$192:$M$192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Graph!$B$194:$M$194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BE2-49E9-9AB8-9E5ECC8CAF3D}"/>
                  </c:ext>
                </c:extLst>
              </c15:ser>
            </c15:filteredBarSeries>
          </c:ext>
        </c:extLst>
      </c:barChart>
      <c:dateAx>
        <c:axId val="-17834083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35024"/>
        <c:crosses val="autoZero"/>
        <c:auto val="1"/>
        <c:lblOffset val="100"/>
        <c:baseTimeUnit val="months"/>
      </c:dateAx>
      <c:valAx>
        <c:axId val="-178343502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083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483003132672932"/>
          <c:y val="0.89462852548055793"/>
          <c:w val="0.11482022408489262"/>
          <c:h val="8.1286696099403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During  Consultation Clear Information About: Diet-lifestyle-medicine-treatment process</a:t>
            </a:r>
            <a:r>
              <a:rPr lang="en-IN" sz="1600" b="1" i="0" u="none" strike="noStrike" baseline="0"/>
              <a:t> </a:t>
            </a:r>
            <a:endParaRPr lang="en-IN" b="1"/>
          </a:p>
        </c:rich>
      </c:tx>
      <c:layout>
        <c:manualLayout>
          <c:xMode val="edge"/>
          <c:yMode val="edge"/>
          <c:x val="0.19639325189063409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279693734381765"/>
          <c:y val="0.28949069227618224"/>
          <c:w val="0.87232174103237092"/>
          <c:h val="0.4186413677456984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Graph!$A$201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Graph!$B$199:$M$199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Graph!$B$201:$M$201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5A-4DB6-88C8-A9C03723AE97}"/>
            </c:ext>
          </c:extLst>
        </c:ser>
        <c:ser>
          <c:idx val="2"/>
          <c:order val="2"/>
          <c:tx>
            <c:strRef>
              <c:f>Graph!$A$202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Graph!$B$199:$M$199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Graph!$B$202:$M$202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8-45FE-A1B6-4F7C181208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783426320"/>
        <c:axId val="-17834187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Graph!$A$200</c15:sqref>
                        </c15:formulaRef>
                      </c:ext>
                    </c:extLst>
                    <c:strCache>
                      <c:ptCount val="1"/>
                      <c:pt idx="0">
                        <c:v>Diet-lifestyle-medicine-treatment process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Graph!$B$199:$M$199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Graph!$B$200:$M$200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15A-4DB6-88C8-A9C03723AE97}"/>
                  </c:ext>
                </c:extLst>
              </c15:ser>
            </c15:filteredBarSeries>
          </c:ext>
        </c:extLst>
      </c:barChart>
      <c:dateAx>
        <c:axId val="-178342632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18704"/>
        <c:crosses val="autoZero"/>
        <c:auto val="1"/>
        <c:lblOffset val="100"/>
        <c:baseTimeUnit val="months"/>
      </c:dateAx>
      <c:valAx>
        <c:axId val="-178341870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263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443172854711266"/>
          <c:y val="0.90335593467483233"/>
          <c:w val="0.11694215841089679"/>
          <c:h val="8.1286696099403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During  Consultation Clear Information About: Health outcomes that you may expect</a:t>
            </a:r>
            <a:r>
              <a:rPr lang="en-IN" sz="1600" b="1" i="0" u="none" strike="noStrike" baseline="0"/>
              <a:t> </a:t>
            </a:r>
            <a:endParaRPr lang="en-IN" b="1"/>
          </a:p>
        </c:rich>
      </c:tx>
      <c:layout>
        <c:manualLayout>
          <c:xMode val="edge"/>
          <c:yMode val="edge"/>
          <c:x val="0.20802792321116928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823381452318459"/>
          <c:y val="0.30337962962962961"/>
          <c:w val="0.87232174103237092"/>
          <c:h val="0.4047524788568095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Graph!$A$207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Graph!$B$205:$M$205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Graph!$B$207:$M$207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B5-4260-A321-81CCAF73EC3F}"/>
            </c:ext>
          </c:extLst>
        </c:ser>
        <c:ser>
          <c:idx val="2"/>
          <c:order val="2"/>
          <c:tx>
            <c:strRef>
              <c:f>Graph!$A$208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Graph!$B$205:$M$205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Graph!$B$208:$M$208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3-4D3F-8258-274121B046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783428496"/>
        <c:axId val="-17834279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Graph!$A$206</c15:sqref>
                        </c15:formulaRef>
                      </c:ext>
                    </c:extLst>
                    <c:strCache>
                      <c:ptCount val="1"/>
                      <c:pt idx="0">
                        <c:v>Health outcomes that you may expect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Graph!$B$205:$M$205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Graph!$B$206:$M$206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7B5-4260-A321-81CCAF73EC3F}"/>
                  </c:ext>
                </c:extLst>
              </c15:ser>
            </c15:filteredBarSeries>
          </c:ext>
        </c:extLst>
      </c:barChart>
      <c:dateAx>
        <c:axId val="-17834284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27952"/>
        <c:crosses val="autoZero"/>
        <c:auto val="1"/>
        <c:lblOffset val="100"/>
        <c:baseTimeUnit val="months"/>
      </c:dateAx>
      <c:valAx>
        <c:axId val="-178342795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2849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During  Consultation Clear Information About: Review Date</a:t>
            </a:r>
            <a:endParaRPr lang="en-IN" b="1"/>
          </a:p>
        </c:rich>
      </c:tx>
      <c:layout>
        <c:manualLayout>
          <c:xMode val="edge"/>
          <c:yMode val="edge"/>
          <c:x val="0.20802792321116928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823381452318459"/>
          <c:y val="0.30337962962962961"/>
          <c:w val="0.87232174103237092"/>
          <c:h val="0.4047524788568095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Graph!$A$213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Graph!$B$211:$M$211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Graph!$B$213:$M$213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FC-4621-A9BB-498567791C90}"/>
            </c:ext>
          </c:extLst>
        </c:ser>
        <c:ser>
          <c:idx val="2"/>
          <c:order val="2"/>
          <c:tx>
            <c:strRef>
              <c:f>Graph!$A$214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Graph!$B$211:$M$211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Graph!$B$214:$M$214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FC-4621-A9BB-498567791C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783424144"/>
        <c:axId val="-17834720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Graph!$A$212</c15:sqref>
                        </c15:formulaRef>
                      </c:ext>
                    </c:extLst>
                    <c:strCache>
                      <c:ptCount val="1"/>
                      <c:pt idx="0">
                        <c:v>The review date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trendline>
                  <c:spPr>
                    <a:ln w="19050" cap="rnd">
                      <a:solidFill>
                        <a:srgbClr val="92D050"/>
                      </a:solidFill>
                    </a:ln>
                    <a:effectLst/>
                  </c:spPr>
                  <c:trendlineType val="movingAvg"/>
                  <c:period val="2"/>
                  <c:dispRSqr val="0"/>
                  <c:dispEq val="0"/>
                </c:trendline>
                <c:cat>
                  <c:numRef>
                    <c:extLst>
                      <c:ext uri="{02D57815-91ED-43cb-92C2-25804820EDAC}">
                        <c15:formulaRef>
                          <c15:sqref>Graph!$B$211:$M$211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45748</c:v>
                      </c:pt>
                      <c:pt idx="1">
                        <c:v>45778</c:v>
                      </c:pt>
                      <c:pt idx="2">
                        <c:v>45809</c:v>
                      </c:pt>
                      <c:pt idx="3">
                        <c:v>45839</c:v>
                      </c:pt>
                      <c:pt idx="4">
                        <c:v>45870</c:v>
                      </c:pt>
                      <c:pt idx="5">
                        <c:v>45901</c:v>
                      </c:pt>
                      <c:pt idx="6">
                        <c:v>45931</c:v>
                      </c:pt>
                      <c:pt idx="7">
                        <c:v>45962</c:v>
                      </c:pt>
                      <c:pt idx="8">
                        <c:v>45992</c:v>
                      </c:pt>
                      <c:pt idx="9">
                        <c:v>46023</c:v>
                      </c:pt>
                      <c:pt idx="10">
                        <c:v>46054</c:v>
                      </c:pt>
                      <c:pt idx="11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Graph!$B$212:$M$212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BBFC-4621-A9BB-498567791C90}"/>
                  </c:ext>
                </c:extLst>
              </c15:ser>
            </c15:filteredBarSeries>
          </c:ext>
        </c:extLst>
      </c:barChart>
      <c:dateAx>
        <c:axId val="-178342414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72016"/>
        <c:crosses val="autoZero"/>
        <c:auto val="1"/>
        <c:lblOffset val="100"/>
        <c:baseTimeUnit val="months"/>
      </c:dateAx>
      <c:valAx>
        <c:axId val="-1783472016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8342414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499110</xdr:colOff>
      <xdr:row>0</xdr:row>
      <xdr:rowOff>161925</xdr:rowOff>
    </xdr:from>
    <xdr:to>
      <xdr:col>17</xdr:col>
      <xdr:colOff>1272540</xdr:colOff>
      <xdr:row>17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56197</xdr:rowOff>
    </xdr:from>
    <xdr:to>
      <xdr:col>10</xdr:col>
      <xdr:colOff>411480</xdr:colOff>
      <xdr:row>31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493396</xdr:colOff>
      <xdr:row>17</xdr:row>
      <xdr:rowOff>58101</xdr:rowOff>
    </xdr:from>
    <xdr:to>
      <xdr:col>17</xdr:col>
      <xdr:colOff>1295400</xdr:colOff>
      <xdr:row>31</xdr:row>
      <xdr:rowOff>3810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176212</xdr:rowOff>
    </xdr:from>
    <xdr:to>
      <xdr:col>10</xdr:col>
      <xdr:colOff>396240</xdr:colOff>
      <xdr:row>16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</xdr:colOff>
      <xdr:row>31</xdr:row>
      <xdr:rowOff>37147</xdr:rowOff>
    </xdr:from>
    <xdr:to>
      <xdr:col>10</xdr:col>
      <xdr:colOff>441960</xdr:colOff>
      <xdr:row>45</xdr:row>
      <xdr:rowOff>89535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516256</xdr:colOff>
      <xdr:row>31</xdr:row>
      <xdr:rowOff>62865</xdr:rowOff>
    </xdr:from>
    <xdr:to>
      <xdr:col>17</xdr:col>
      <xdr:colOff>1348740</xdr:colOff>
      <xdr:row>45</xdr:row>
      <xdr:rowOff>129540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45</xdr:row>
      <xdr:rowOff>114300</xdr:rowOff>
    </xdr:from>
    <xdr:to>
      <xdr:col>10</xdr:col>
      <xdr:colOff>434340</xdr:colOff>
      <xdr:row>59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516254</xdr:colOff>
      <xdr:row>45</xdr:row>
      <xdr:rowOff>181927</xdr:rowOff>
    </xdr:from>
    <xdr:to>
      <xdr:col>17</xdr:col>
      <xdr:colOff>1341119</xdr:colOff>
      <xdr:row>60</xdr:row>
      <xdr:rowOff>3810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</xdr:colOff>
      <xdr:row>59</xdr:row>
      <xdr:rowOff>135255</xdr:rowOff>
    </xdr:from>
    <xdr:to>
      <xdr:col>10</xdr:col>
      <xdr:colOff>434340</xdr:colOff>
      <xdr:row>74</xdr:row>
      <xdr:rowOff>28575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527684</xdr:colOff>
      <xdr:row>60</xdr:row>
      <xdr:rowOff>36195</xdr:rowOff>
    </xdr:from>
    <xdr:to>
      <xdr:col>17</xdr:col>
      <xdr:colOff>1379219</xdr:colOff>
      <xdr:row>74</xdr:row>
      <xdr:rowOff>112395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74</xdr:row>
      <xdr:rowOff>45720</xdr:rowOff>
    </xdr:from>
    <xdr:to>
      <xdr:col>10</xdr:col>
      <xdr:colOff>411480</xdr:colOff>
      <xdr:row>88</xdr:row>
      <xdr:rowOff>121920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518160</xdr:colOff>
      <xdr:row>74</xdr:row>
      <xdr:rowOff>150495</xdr:rowOff>
    </xdr:from>
    <xdr:to>
      <xdr:col>17</xdr:col>
      <xdr:colOff>1432560</xdr:colOff>
      <xdr:row>89</xdr:row>
      <xdr:rowOff>36195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30481</xdr:colOff>
      <xdr:row>88</xdr:row>
      <xdr:rowOff>150495</xdr:rowOff>
    </xdr:from>
    <xdr:to>
      <xdr:col>10</xdr:col>
      <xdr:colOff>441960</xdr:colOff>
      <xdr:row>103</xdr:row>
      <xdr:rowOff>43815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"/>
  <sheetViews>
    <sheetView workbookViewId="0">
      <pane ySplit="1" topLeftCell="A2" activePane="bottomLeft" state="frozen"/>
      <selection activeCell="AP1" sqref="AP1"/>
      <selection pane="bottomLeft" activeCell="D18" sqref="D18"/>
    </sheetView>
  </sheetViews>
  <sheetFormatPr defaultRowHeight="14.4" x14ac:dyDescent="0.3"/>
  <cols>
    <col min="1" max="1" width="25.77734375" bestFit="1" customWidth="1"/>
    <col min="2" max="2" width="12" bestFit="1" customWidth="1"/>
    <col min="3" max="3" width="11.6640625" style="5" bestFit="1" customWidth="1"/>
    <col min="4" max="4" width="11" bestFit="1" customWidth="1"/>
    <col min="5" max="5" width="31.44140625" bestFit="1" customWidth="1"/>
    <col min="6" max="6" width="37" bestFit="1" customWidth="1"/>
    <col min="7" max="7" width="28" bestFit="1" customWidth="1"/>
    <col min="8" max="8" width="43.21875" bestFit="1" customWidth="1"/>
    <col min="9" max="9" width="3.109375" bestFit="1" customWidth="1"/>
    <col min="10" max="10" width="255.77734375" bestFit="1" customWidth="1"/>
    <col min="11" max="11" width="7.6640625" bestFit="1" customWidth="1"/>
    <col min="12" max="12" width="19.6640625" bestFit="1" customWidth="1"/>
    <col min="13" max="13" width="5.77734375" bestFit="1" customWidth="1"/>
    <col min="14" max="14" width="11.88671875" bestFit="1" customWidth="1"/>
    <col min="15" max="15" width="9.6640625" bestFit="1" customWidth="1"/>
    <col min="16" max="16" width="15.33203125" bestFit="1" customWidth="1"/>
    <col min="17" max="17" width="11" bestFit="1" customWidth="1"/>
    <col min="18" max="18" width="30.5546875" bestFit="1" customWidth="1"/>
    <col min="19" max="19" width="39.77734375" bestFit="1" customWidth="1"/>
    <col min="20" max="20" width="22.109375" bestFit="1" customWidth="1"/>
    <col min="21" max="21" width="42" bestFit="1" customWidth="1"/>
    <col min="22" max="22" width="7.109375" bestFit="1" customWidth="1"/>
    <col min="23" max="23" width="11" bestFit="1" customWidth="1"/>
    <col min="24" max="24" width="16.88671875" bestFit="1" customWidth="1"/>
    <col min="25" max="25" width="14.6640625" bestFit="1" customWidth="1"/>
    <col min="26" max="26" width="36.5546875" bestFit="1" customWidth="1"/>
    <col min="27" max="27" width="8.5546875" bestFit="1" customWidth="1"/>
    <col min="28" max="28" width="93.21875" bestFit="1" customWidth="1"/>
    <col min="29" max="29" width="71.77734375" bestFit="1" customWidth="1"/>
    <col min="30" max="30" width="16.44140625" bestFit="1" customWidth="1"/>
    <col min="31" max="31" width="16.77734375" style="45" bestFit="1" customWidth="1"/>
    <col min="32" max="32" width="14.21875" bestFit="1" customWidth="1"/>
    <col min="33" max="33" width="59.5546875" bestFit="1" customWidth="1"/>
    <col min="34" max="34" width="14.77734375" bestFit="1" customWidth="1"/>
    <col min="35" max="35" width="43.21875" bestFit="1" customWidth="1"/>
    <col min="36" max="36" width="28.5546875" bestFit="1" customWidth="1"/>
    <col min="37" max="37" width="9.21875" bestFit="1" customWidth="1"/>
    <col min="38" max="38" width="19.21875" bestFit="1" customWidth="1"/>
    <col min="39" max="39" width="15" bestFit="1" customWidth="1"/>
    <col min="40" max="40" width="17.77734375" bestFit="1" customWidth="1"/>
    <col min="41" max="41" width="10" bestFit="1" customWidth="1"/>
    <col min="42" max="42" width="36.5546875" bestFit="1" customWidth="1"/>
    <col min="43" max="43" width="14.88671875" bestFit="1" customWidth="1"/>
    <col min="44" max="44" width="15.44140625" style="6" bestFit="1" customWidth="1"/>
    <col min="45" max="45" width="7.21875" bestFit="1" customWidth="1"/>
  </cols>
  <sheetData>
    <row r="1" spans="1:45" s="12" customFormat="1" ht="24.9" customHeight="1" x14ac:dyDescent="0.3">
      <c r="A1" s="13" t="s">
        <v>80</v>
      </c>
      <c r="B1" s="13" t="s">
        <v>46</v>
      </c>
      <c r="C1" s="13" t="s">
        <v>28</v>
      </c>
      <c r="D1" s="13" t="s">
        <v>33</v>
      </c>
      <c r="E1" s="13" t="s">
        <v>81</v>
      </c>
      <c r="F1" s="13" t="s">
        <v>82</v>
      </c>
      <c r="G1" s="13" t="s">
        <v>83</v>
      </c>
      <c r="H1" s="13" t="s">
        <v>84</v>
      </c>
      <c r="I1" s="13" t="s">
        <v>85</v>
      </c>
      <c r="J1" s="13" t="s">
        <v>86</v>
      </c>
      <c r="K1" s="13" t="s">
        <v>87</v>
      </c>
      <c r="L1" s="13" t="s">
        <v>88</v>
      </c>
      <c r="M1" s="13" t="s">
        <v>89</v>
      </c>
      <c r="N1" s="13" t="s">
        <v>90</v>
      </c>
      <c r="O1" s="13" t="s">
        <v>91</v>
      </c>
      <c r="P1" s="13" t="s">
        <v>92</v>
      </c>
      <c r="Q1" s="13" t="s">
        <v>93</v>
      </c>
      <c r="R1" s="13" t="s">
        <v>94</v>
      </c>
      <c r="S1" s="13" t="s">
        <v>95</v>
      </c>
      <c r="T1" s="13" t="s">
        <v>96</v>
      </c>
      <c r="U1" s="13" t="s">
        <v>97</v>
      </c>
      <c r="V1" s="13" t="s">
        <v>98</v>
      </c>
      <c r="W1" s="13" t="s">
        <v>99</v>
      </c>
      <c r="X1" s="13" t="s">
        <v>100</v>
      </c>
      <c r="Y1" s="13" t="s">
        <v>101</v>
      </c>
      <c r="Z1" s="13" t="s">
        <v>102</v>
      </c>
      <c r="AA1" s="13" t="s">
        <v>103</v>
      </c>
      <c r="AB1" s="13" t="s">
        <v>104</v>
      </c>
      <c r="AC1" s="13" t="s">
        <v>105</v>
      </c>
      <c r="AD1" s="13" t="s">
        <v>106</v>
      </c>
      <c r="AE1" s="13" t="s">
        <v>107</v>
      </c>
      <c r="AF1" s="13" t="s">
        <v>108</v>
      </c>
      <c r="AG1" s="13" t="s">
        <v>109</v>
      </c>
      <c r="AH1" s="13" t="s">
        <v>110</v>
      </c>
      <c r="AI1" s="13" t="s">
        <v>111</v>
      </c>
      <c r="AJ1" s="13" t="s">
        <v>112</v>
      </c>
      <c r="AK1" s="13" t="s">
        <v>113</v>
      </c>
      <c r="AL1" s="13" t="s">
        <v>114</v>
      </c>
      <c r="AM1" s="13" t="s">
        <v>115</v>
      </c>
      <c r="AN1" s="13" t="s">
        <v>116</v>
      </c>
      <c r="AO1" s="13" t="s">
        <v>30</v>
      </c>
      <c r="AP1" s="13" t="s">
        <v>117</v>
      </c>
      <c r="AQ1" s="13" t="s">
        <v>118</v>
      </c>
      <c r="AR1" s="13" t="s">
        <v>46</v>
      </c>
      <c r="AS1" s="11" t="s">
        <v>59</v>
      </c>
    </row>
    <row r="2" spans="1:45" x14ac:dyDescent="0.3">
      <c r="A2" t="s">
        <v>123</v>
      </c>
      <c r="B2">
        <v>46120.525000000001</v>
      </c>
      <c r="C2" s="5">
        <v>46120</v>
      </c>
      <c r="D2">
        <v>5961068363</v>
      </c>
      <c r="E2" t="s">
        <v>133</v>
      </c>
      <c r="F2" t="s">
        <v>131</v>
      </c>
      <c r="G2" t="s">
        <v>129</v>
      </c>
      <c r="H2" t="s">
        <v>136</v>
      </c>
      <c r="P2" t="s">
        <v>12</v>
      </c>
      <c r="R2" t="s">
        <v>119</v>
      </c>
      <c r="S2" t="s">
        <v>60</v>
      </c>
      <c r="T2" t="s">
        <v>126</v>
      </c>
      <c r="W2" t="s">
        <v>127</v>
      </c>
      <c r="X2">
        <v>919936164333</v>
      </c>
      <c r="AB2" t="s">
        <v>130</v>
      </c>
      <c r="AD2" t="s">
        <v>100</v>
      </c>
      <c r="AE2" s="45">
        <v>0.625</v>
      </c>
      <c r="AF2" t="s">
        <v>13</v>
      </c>
      <c r="AG2" t="s">
        <v>128</v>
      </c>
      <c r="AH2" t="s">
        <v>12</v>
      </c>
      <c r="AI2" t="s">
        <v>135</v>
      </c>
      <c r="AL2" t="s">
        <v>119</v>
      </c>
      <c r="AN2" t="s">
        <v>134</v>
      </c>
      <c r="AO2" t="s">
        <v>137</v>
      </c>
      <c r="AQ2">
        <v>43</v>
      </c>
      <c r="AS2" t="str">
        <f>VLOOKUP(MONTH(AR2),Month!$A:$B,2,FALSE) &amp; "-" &amp; MID(YEAR(AR2),3,2)</f>
        <v>Jan-00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opLeftCell="Y1" workbookViewId="0">
      <pane ySplit="1" topLeftCell="A2" activePane="bottomLeft" state="frozen"/>
      <selection activeCell="AP1" sqref="AP1"/>
      <selection pane="bottomLeft" activeCell="AA10" sqref="AA10"/>
    </sheetView>
  </sheetViews>
  <sheetFormatPr defaultColWidth="8" defaultRowHeight="13.8" customHeight="1" x14ac:dyDescent="0.3"/>
  <cols>
    <col min="1" max="1" width="14.33203125" style="5" bestFit="1" customWidth="1"/>
    <col min="2" max="2" width="8.6640625" bestFit="1" customWidth="1"/>
    <col min="3" max="3" width="12.6640625" bestFit="1" customWidth="1"/>
    <col min="4" max="4" width="38.88671875" customWidth="1"/>
    <col min="5" max="5" width="17.6640625" bestFit="1" customWidth="1"/>
    <col min="6" max="6" width="11" bestFit="1" customWidth="1"/>
    <col min="7" max="7" width="9.88671875" bestFit="1" customWidth="1"/>
    <col min="8" max="8" width="27.5546875" bestFit="1" customWidth="1"/>
    <col min="9" max="9" width="31.44140625" bestFit="1" customWidth="1"/>
    <col min="10" max="10" width="26.6640625" bestFit="1" customWidth="1"/>
    <col min="11" max="11" width="30.5546875" bestFit="1" customWidth="1"/>
    <col min="12" max="13" width="32.33203125" bestFit="1" customWidth="1"/>
    <col min="14" max="14" width="28.88671875" bestFit="1" customWidth="1"/>
    <col min="15" max="15" width="57.5546875" bestFit="1" customWidth="1"/>
    <col min="16" max="16" width="13" bestFit="1" customWidth="1"/>
    <col min="17" max="17" width="15.109375" bestFit="1" customWidth="1"/>
    <col min="18" max="18" width="13.5546875" bestFit="1" customWidth="1"/>
    <col min="19" max="19" width="32.109375" bestFit="1" customWidth="1"/>
    <col min="20" max="20" width="29" bestFit="1" customWidth="1"/>
    <col min="21" max="21" width="12.5546875" bestFit="1" customWidth="1"/>
    <col min="22" max="22" width="45.33203125" bestFit="1" customWidth="1"/>
    <col min="23" max="23" width="39.44140625" bestFit="1" customWidth="1"/>
    <col min="24" max="24" width="60.44140625" bestFit="1" customWidth="1"/>
    <col min="25" max="25" width="183.5546875" customWidth="1"/>
    <col min="26" max="26" width="15.44140625" style="6" bestFit="1" customWidth="1"/>
    <col min="27" max="27" width="15.44140625" style="6" customWidth="1"/>
    <col min="28" max="28" width="10" customWidth="1"/>
  </cols>
  <sheetData>
    <row r="1" spans="1:28" s="12" customFormat="1" ht="13.8" customHeight="1" x14ac:dyDescent="0.3">
      <c r="A1" s="13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36</v>
      </c>
      <c r="J1" s="13" t="s">
        <v>37</v>
      </c>
      <c r="K1" s="13" t="s">
        <v>38</v>
      </c>
      <c r="L1" s="13" t="s">
        <v>39</v>
      </c>
      <c r="M1" s="13" t="s">
        <v>40</v>
      </c>
      <c r="N1" s="13" t="s">
        <v>41</v>
      </c>
      <c r="O1" s="13" t="s">
        <v>11</v>
      </c>
      <c r="P1" s="13" t="s">
        <v>42</v>
      </c>
      <c r="Q1" s="13" t="s">
        <v>43</v>
      </c>
      <c r="R1" s="13" t="s">
        <v>44</v>
      </c>
      <c r="S1" s="13" t="s">
        <v>18</v>
      </c>
      <c r="T1" s="13" t="s">
        <v>19</v>
      </c>
      <c r="U1" s="13" t="s">
        <v>20</v>
      </c>
      <c r="V1" s="13" t="s">
        <v>6</v>
      </c>
      <c r="W1" s="13" t="s">
        <v>7</v>
      </c>
      <c r="X1" s="13" t="s">
        <v>21</v>
      </c>
      <c r="Y1" s="13" t="s">
        <v>27</v>
      </c>
      <c r="Z1" s="13" t="s">
        <v>46</v>
      </c>
      <c r="AA1" s="13" t="s">
        <v>139</v>
      </c>
      <c r="AB1" s="11" t="s">
        <v>59</v>
      </c>
    </row>
    <row r="2" spans="1:28" ht="13.8" customHeight="1" x14ac:dyDescent="0.3">
      <c r="A2">
        <v>45778</v>
      </c>
      <c r="B2">
        <v>21472</v>
      </c>
      <c r="C2" t="s">
        <v>132</v>
      </c>
      <c r="E2">
        <v>45787.400578703702</v>
      </c>
      <c r="F2">
        <v>802074483</v>
      </c>
      <c r="G2" t="s">
        <v>122</v>
      </c>
      <c r="H2" t="s">
        <v>125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O2" t="s">
        <v>12</v>
      </c>
      <c r="P2" t="s">
        <v>12</v>
      </c>
      <c r="Q2" t="s">
        <v>12</v>
      </c>
      <c r="R2" t="s">
        <v>12</v>
      </c>
      <c r="S2" t="s">
        <v>12</v>
      </c>
      <c r="T2" t="s">
        <v>12</v>
      </c>
      <c r="U2" t="s">
        <v>12</v>
      </c>
      <c r="V2" t="s">
        <v>45</v>
      </c>
      <c r="W2" t="s">
        <v>45</v>
      </c>
      <c r="X2">
        <v>1</v>
      </c>
      <c r="Y2" t="s">
        <v>124</v>
      </c>
      <c r="Z2">
        <v>45787.534722222219</v>
      </c>
      <c r="AA2"/>
      <c r="AB2" s="5" t="str">
        <f>VLOOKUP(MONTH(A2),Month!$A:$B,2,FALSE) &amp; "-" &amp; MID(YEAR(A2),3,2)</f>
        <v>May-25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73"/>
  <sheetViews>
    <sheetView showGridLines="0" workbookViewId="0">
      <pane xSplit="2" ySplit="2" topLeftCell="C3" activePane="bottomRight" state="frozen"/>
      <selection activeCell="AS8" sqref="AS8"/>
      <selection pane="topRight" activeCell="AS8" sqref="AS8"/>
      <selection pane="bottomLeft" activeCell="AS8" sqref="AS8"/>
      <selection pane="bottomRight" activeCell="G11" sqref="G11"/>
    </sheetView>
  </sheetViews>
  <sheetFormatPr defaultRowHeight="14.4" x14ac:dyDescent="0.3"/>
  <cols>
    <col min="1" max="1" width="4.109375" customWidth="1"/>
    <col min="2" max="2" width="47.88671875" customWidth="1"/>
    <col min="3" max="3" width="6.6640625" customWidth="1"/>
    <col min="4" max="4" width="6.109375" customWidth="1"/>
    <col min="5" max="5" width="6.88671875" customWidth="1"/>
    <col min="6" max="6" width="7.44140625" customWidth="1"/>
    <col min="7" max="7" width="6.109375" customWidth="1"/>
    <col min="8" max="8" width="6.6640625" customWidth="1"/>
    <col min="9" max="9" width="7.44140625" customWidth="1"/>
    <col min="10" max="10" width="6.109375" customWidth="1"/>
    <col min="11" max="11" width="6.6640625" customWidth="1"/>
    <col min="12" max="12" width="7.44140625" customWidth="1"/>
    <col min="13" max="14" width="6.6640625" customWidth="1"/>
    <col min="15" max="15" width="7.44140625" customWidth="1"/>
    <col min="16" max="17" width="6.6640625" customWidth="1"/>
    <col min="18" max="18" width="7.44140625" customWidth="1"/>
    <col min="19" max="19" width="6.6640625" customWidth="1"/>
    <col min="20" max="20" width="6.88671875" customWidth="1"/>
    <col min="21" max="21" width="7.44140625" customWidth="1"/>
    <col min="22" max="23" width="6.6640625" customWidth="1"/>
    <col min="24" max="24" width="7.44140625" customWidth="1"/>
    <col min="25" max="26" width="6.6640625" customWidth="1"/>
    <col min="27" max="27" width="7.44140625" customWidth="1"/>
    <col min="28" max="29" width="6.6640625" customWidth="1"/>
    <col min="30" max="30" width="7.44140625" customWidth="1"/>
    <col min="31" max="32" width="6.6640625" customWidth="1"/>
    <col min="33" max="33" width="7.44140625" customWidth="1"/>
    <col min="34" max="35" width="6.6640625" customWidth="1"/>
    <col min="36" max="36" width="7.44140625" customWidth="1"/>
    <col min="37" max="38" width="6.6640625" customWidth="1"/>
    <col min="39" max="39" width="7.44140625" customWidth="1"/>
    <col min="40" max="41" width="6.6640625" customWidth="1"/>
  </cols>
  <sheetData>
    <row r="1" spans="1:41" ht="30" customHeight="1" x14ac:dyDescent="0.3">
      <c r="A1" s="51" t="s">
        <v>64</v>
      </c>
      <c r="B1" s="52"/>
      <c r="C1" s="52"/>
      <c r="D1" s="52"/>
      <c r="E1" s="53"/>
      <c r="F1" s="48">
        <v>45748</v>
      </c>
      <c r="G1" s="49"/>
      <c r="H1" s="50"/>
      <c r="I1" s="48">
        <f>EDATE(F1,1)</f>
        <v>45778</v>
      </c>
      <c r="J1" s="49"/>
      <c r="K1" s="50"/>
      <c r="L1" s="48">
        <f t="shared" ref="L1" si="0">EDATE(I1,1)</f>
        <v>45809</v>
      </c>
      <c r="M1" s="49"/>
      <c r="N1" s="50"/>
      <c r="O1" s="48">
        <f t="shared" ref="O1" si="1">EDATE(L1,1)</f>
        <v>45839</v>
      </c>
      <c r="P1" s="49"/>
      <c r="Q1" s="50"/>
      <c r="R1" s="48">
        <f t="shared" ref="R1" si="2">EDATE(O1,1)</f>
        <v>45870</v>
      </c>
      <c r="S1" s="49"/>
      <c r="T1" s="50"/>
      <c r="U1" s="48">
        <f t="shared" ref="U1" si="3">EDATE(R1,1)</f>
        <v>45901</v>
      </c>
      <c r="V1" s="49"/>
      <c r="W1" s="50"/>
      <c r="X1" s="48">
        <f t="shared" ref="X1" si="4">EDATE(U1,1)</f>
        <v>45931</v>
      </c>
      <c r="Y1" s="49"/>
      <c r="Z1" s="50"/>
      <c r="AA1" s="48">
        <f t="shared" ref="AA1" si="5">EDATE(X1,1)</f>
        <v>45962</v>
      </c>
      <c r="AB1" s="49"/>
      <c r="AC1" s="50"/>
      <c r="AD1" s="48">
        <f t="shared" ref="AD1" si="6">EDATE(AA1,1)</f>
        <v>45992</v>
      </c>
      <c r="AE1" s="49"/>
      <c r="AF1" s="50"/>
      <c r="AG1" s="48">
        <f t="shared" ref="AG1" si="7">EDATE(AD1,1)</f>
        <v>46023</v>
      </c>
      <c r="AH1" s="49"/>
      <c r="AI1" s="50"/>
      <c r="AJ1" s="48">
        <f t="shared" ref="AJ1" si="8">EDATE(AG1,1)</f>
        <v>46054</v>
      </c>
      <c r="AK1" s="49"/>
      <c r="AL1" s="50"/>
      <c r="AM1" s="48">
        <f t="shared" ref="AM1" si="9">EDATE(AJ1,1)</f>
        <v>46082</v>
      </c>
      <c r="AN1" s="49"/>
      <c r="AO1" s="50"/>
    </row>
    <row r="2" spans="1:41" ht="52.8" hidden="1" x14ac:dyDescent="0.3">
      <c r="A2" s="1" t="s">
        <v>0</v>
      </c>
      <c r="B2" s="1" t="s">
        <v>65</v>
      </c>
      <c r="C2" s="1" t="s">
        <v>1</v>
      </c>
      <c r="D2" s="1" t="s">
        <v>2</v>
      </c>
      <c r="E2" s="2" t="s">
        <v>3</v>
      </c>
      <c r="F2" s="1" t="s">
        <v>1</v>
      </c>
      <c r="G2" s="1" t="s">
        <v>2</v>
      </c>
      <c r="H2" s="2" t="s">
        <v>3</v>
      </c>
      <c r="I2" s="1" t="s">
        <v>1</v>
      </c>
      <c r="J2" s="1" t="s">
        <v>2</v>
      </c>
      <c r="K2" s="2" t="s">
        <v>3</v>
      </c>
      <c r="L2" s="1" t="s">
        <v>1</v>
      </c>
      <c r="M2" s="1" t="s">
        <v>2</v>
      </c>
      <c r="N2" s="2" t="s">
        <v>3</v>
      </c>
      <c r="O2" s="1" t="s">
        <v>1</v>
      </c>
      <c r="P2" s="1" t="s">
        <v>2</v>
      </c>
      <c r="Q2" s="2" t="s">
        <v>3</v>
      </c>
      <c r="R2" s="1" t="s">
        <v>1</v>
      </c>
      <c r="S2" s="1" t="s">
        <v>2</v>
      </c>
      <c r="T2" s="2" t="s">
        <v>3</v>
      </c>
      <c r="U2" s="1" t="s">
        <v>1</v>
      </c>
      <c r="V2" s="1" t="s">
        <v>2</v>
      </c>
      <c r="W2" s="2" t="s">
        <v>3</v>
      </c>
      <c r="X2" s="1" t="s">
        <v>1</v>
      </c>
      <c r="Y2" s="1" t="s">
        <v>2</v>
      </c>
      <c r="Z2" s="2" t="s">
        <v>3</v>
      </c>
      <c r="AA2" s="1" t="s">
        <v>1</v>
      </c>
      <c r="AB2" s="1" t="s">
        <v>2</v>
      </c>
      <c r="AC2" s="2" t="s">
        <v>3</v>
      </c>
      <c r="AD2" s="1" t="s">
        <v>1</v>
      </c>
      <c r="AE2" s="1" t="s">
        <v>2</v>
      </c>
      <c r="AF2" s="2" t="s">
        <v>3</v>
      </c>
      <c r="AG2" s="1" t="s">
        <v>1</v>
      </c>
      <c r="AH2" s="1" t="s">
        <v>2</v>
      </c>
      <c r="AI2" s="2" t="s">
        <v>3</v>
      </c>
      <c r="AJ2" s="1" t="s">
        <v>1</v>
      </c>
      <c r="AK2" s="1" t="s">
        <v>2</v>
      </c>
      <c r="AL2" s="2" t="s">
        <v>3</v>
      </c>
      <c r="AM2" s="1" t="s">
        <v>1</v>
      </c>
      <c r="AN2" s="1" t="s">
        <v>2</v>
      </c>
      <c r="AO2" s="2" t="s">
        <v>3</v>
      </c>
    </row>
    <row r="3" spans="1:41" x14ac:dyDescent="0.3">
      <c r="A3" s="19">
        <v>1</v>
      </c>
      <c r="B3" s="20" t="s">
        <v>4</v>
      </c>
      <c r="C3" s="21"/>
      <c r="D3" s="21"/>
      <c r="E3" s="22"/>
      <c r="F3" s="23"/>
      <c r="G3" s="23"/>
      <c r="H3" s="22"/>
      <c r="I3" s="23"/>
      <c r="J3" s="23"/>
      <c r="K3" s="22"/>
      <c r="L3" s="23"/>
      <c r="M3" s="23"/>
      <c r="N3" s="22"/>
      <c r="O3" s="23"/>
      <c r="P3" s="23"/>
      <c r="Q3" s="22"/>
      <c r="R3" s="23"/>
      <c r="S3" s="23"/>
      <c r="T3" s="22"/>
      <c r="U3" s="23"/>
      <c r="V3" s="23"/>
      <c r="W3" s="22"/>
      <c r="X3" s="23"/>
      <c r="Y3" s="23"/>
      <c r="Z3" s="22"/>
      <c r="AA3" s="23"/>
      <c r="AB3" s="23"/>
      <c r="AC3" s="22"/>
      <c r="AD3" s="23"/>
      <c r="AE3" s="23"/>
      <c r="AF3" s="22"/>
      <c r="AG3" s="23"/>
      <c r="AH3" s="23"/>
      <c r="AI3" s="22"/>
      <c r="AJ3" s="23"/>
      <c r="AK3" s="23"/>
      <c r="AL3" s="22"/>
      <c r="AM3" s="23"/>
      <c r="AN3" s="23"/>
      <c r="AO3" s="22"/>
    </row>
    <row r="4" spans="1:41" x14ac:dyDescent="0.3">
      <c r="A4" s="24"/>
      <c r="B4" s="25" t="s">
        <v>74</v>
      </c>
      <c r="C4" s="19">
        <f>COUNTIF('C+8 Data'!$I:$I,"&lt;&gt;" &amp; "")-1</f>
        <v>1</v>
      </c>
      <c r="D4" s="19">
        <f>G4+J4+M4+P4+S4+V4+Y4+AB4+AE4+AH4+AK4+AN4</f>
        <v>1</v>
      </c>
      <c r="E4" s="26">
        <f>IF(C4 &lt;&gt; 0,D4/C4,"")</f>
        <v>1</v>
      </c>
      <c r="F4" s="19">
        <f>COUNTIFS('C+8 Data'!$AB:$AB,F$1,'C+8 Data'!$I:$I,"&lt;&gt;" &amp; "")</f>
        <v>0</v>
      </c>
      <c r="G4" s="19">
        <f>COUNTIFS('C+8 Data'!$AB:$AB,F$1,'C+8 Data'!$I:$I,"Very satisfactory (100%)")</f>
        <v>0</v>
      </c>
      <c r="H4" s="26" t="str">
        <f>IF(F4 &lt;&gt; 0,G4/F4,"")</f>
        <v/>
      </c>
      <c r="I4" s="19">
        <f>COUNTIFS('C+8 Data'!$AB:$AB,I$1,'C+8 Data'!$I:$I,"&lt;&gt;" &amp; "")</f>
        <v>1</v>
      </c>
      <c r="J4" s="19">
        <f>COUNTIFS('C+8 Data'!$AB:$AB,I$1,'C+8 Data'!$I:$I,"Very satisfactory (100%)")</f>
        <v>1</v>
      </c>
      <c r="K4" s="26">
        <f>IF(I4 &lt;&gt; 0,J4/I4,"")</f>
        <v>1</v>
      </c>
      <c r="L4" s="19">
        <f>COUNTIFS('C+8 Data'!$AB:$AB,L$1,'C+8 Data'!$I:$I,"&lt;&gt;" &amp; "")</f>
        <v>0</v>
      </c>
      <c r="M4" s="19">
        <f>COUNTIFS('C+8 Data'!$AB:$AB,L$1,'C+8 Data'!$I:$I,"Very satisfactory (100%)")</f>
        <v>0</v>
      </c>
      <c r="N4" s="26" t="str">
        <f>IF(L4 &lt;&gt; 0,M4/L4,"")</f>
        <v/>
      </c>
      <c r="O4" s="19">
        <f>COUNTIFS('C+8 Data'!$AB:$AB,O$1,'C+8 Data'!$I:$I,"&lt;&gt;" &amp; "")</f>
        <v>0</v>
      </c>
      <c r="P4" s="19">
        <f>COUNTIFS('C+8 Data'!$AB:$AB,O$1,'C+8 Data'!$I:$I,"Very satisfactory (100%)")</f>
        <v>0</v>
      </c>
      <c r="Q4" s="26" t="str">
        <f>IF(O4 &lt;&gt; 0,P4/O4,"")</f>
        <v/>
      </c>
      <c r="R4" s="19">
        <f>COUNTIFS('C+8 Data'!$AB:$AB,R$1,'C+8 Data'!$I:$I,"&lt;&gt;" &amp; "")</f>
        <v>0</v>
      </c>
      <c r="S4" s="19">
        <f>COUNTIFS('C+8 Data'!$AB:$AB,R$1,'C+8 Data'!$I:$I,"Very satisfactory (100%)")</f>
        <v>0</v>
      </c>
      <c r="T4" s="26" t="str">
        <f>IF(R4 &lt;&gt; 0,S4/R4,"")</f>
        <v/>
      </c>
      <c r="U4" s="19">
        <f>COUNTIFS('C+8 Data'!$AB:$AB,U$1,'C+8 Data'!$I:$I,"&lt;&gt;" &amp; "")</f>
        <v>0</v>
      </c>
      <c r="V4" s="19">
        <f>COUNTIFS('C+8 Data'!$AB:$AB,U$1,'C+8 Data'!$I:$I,"Very satisfactory (100%)")</f>
        <v>0</v>
      </c>
      <c r="W4" s="26" t="str">
        <f>IF(U4 &lt;&gt; 0,V4/U4,"")</f>
        <v/>
      </c>
      <c r="X4" s="19">
        <f>COUNTIFS('C+8 Data'!$AB:$AB,X$1,'C+8 Data'!$I:$I,"&lt;&gt;" &amp; "")</f>
        <v>0</v>
      </c>
      <c r="Y4" s="19">
        <f>COUNTIFS('C+8 Data'!$AB:$AB,X$1,'C+8 Data'!$I:$I,"Very satisfactory (100%)")</f>
        <v>0</v>
      </c>
      <c r="Z4" s="26" t="str">
        <f>IF(X4 &lt;&gt; 0,Y4/X4,"")</f>
        <v/>
      </c>
      <c r="AA4" s="19">
        <f>COUNTIFS('C+8 Data'!$AB:$AB,AA$1,'C+8 Data'!$I:$I,"&lt;&gt;" &amp; "")</f>
        <v>0</v>
      </c>
      <c r="AB4" s="19">
        <f>COUNTIFS('C+8 Data'!$AB:$AB,AA$1,'C+8 Data'!$I:$I,"Very satisfactory (100%)")</f>
        <v>0</v>
      </c>
      <c r="AC4" s="26" t="str">
        <f>IF(AA4 &lt;&gt; 0,AB4/AA4,"")</f>
        <v/>
      </c>
      <c r="AD4" s="19">
        <f>COUNTIFS('C+8 Data'!$AB:$AB,AD$1,'C+8 Data'!$I:$I,"&lt;&gt;" &amp; "")</f>
        <v>0</v>
      </c>
      <c r="AE4" s="19">
        <f>COUNTIFS('C+8 Data'!$AB:$AB,AD$1,'C+8 Data'!$I:$I,"Very satisfactory (100%)")</f>
        <v>0</v>
      </c>
      <c r="AF4" s="26" t="str">
        <f>IF(AD4 &lt;&gt; 0,AE4/AD4,"")</f>
        <v/>
      </c>
      <c r="AG4" s="19">
        <f>COUNTIFS('C+8 Data'!$AB:$AB,AG$1,'C+8 Data'!$I:$I,"&lt;&gt;" &amp; "")</f>
        <v>0</v>
      </c>
      <c r="AH4" s="19">
        <f>COUNTIFS('C+8 Data'!$AB:$AB,AG$1,'C+8 Data'!$I:$I,"Very satisfactory (100%)")</f>
        <v>0</v>
      </c>
      <c r="AI4" s="26" t="str">
        <f>IF(AG4 &lt;&gt; 0,AH4/AG4,"")</f>
        <v/>
      </c>
      <c r="AJ4" s="19">
        <f>COUNTIFS('C+8 Data'!$AB:$AB,AJ$1,'C+8 Data'!$I:$I,"&lt;&gt;" &amp; "")</f>
        <v>0</v>
      </c>
      <c r="AK4" s="19">
        <f>COUNTIFS('C+8 Data'!$AB:$AB,AJ$1,'C+8 Data'!$I:$I,"Very satisfactory (100%)")</f>
        <v>0</v>
      </c>
      <c r="AL4" s="26" t="str">
        <f>IF(AJ4 &lt;&gt; 0,AK4/AJ4,"")</f>
        <v/>
      </c>
      <c r="AM4" s="19">
        <f>COUNTIFS('C+8 Data'!$AB:$AB,AM$1,'C+8 Data'!$I:$I,"&lt;&gt;" &amp; "")</f>
        <v>0</v>
      </c>
      <c r="AN4" s="19">
        <f>COUNTIFS('C+8 Data'!$AB:$AB,AM$1,'C+8 Data'!$I:$I,"Very satisfactory (100%)")</f>
        <v>0</v>
      </c>
      <c r="AO4" s="26" t="str">
        <f>IF(AM4 &lt;&gt; 0,AN4/AM4,"")</f>
        <v/>
      </c>
    </row>
    <row r="5" spans="1:41" x14ac:dyDescent="0.3">
      <c r="A5" s="24"/>
      <c r="B5" s="25" t="s">
        <v>75</v>
      </c>
      <c r="C5" s="19">
        <f>C4</f>
        <v>1</v>
      </c>
      <c r="D5" s="19">
        <f t="shared" ref="D5:D68" si="10">G5+J5+M5+P5+S5+V5+Y5+AB5+AE5+AH5+AK5+AN5</f>
        <v>0</v>
      </c>
      <c r="E5" s="26">
        <f t="shared" ref="E5:E68" si="11">IF(C5 &lt;&gt; 0,D5/C5,"")</f>
        <v>0</v>
      </c>
      <c r="F5" s="19">
        <f>F4</f>
        <v>0</v>
      </c>
      <c r="G5" s="19">
        <f>COUNTIFS('C+8 Data'!$AB:$AB,F$1,'C+8 Data'!$I:$I,"Satisfactory (80%)")</f>
        <v>0</v>
      </c>
      <c r="H5" s="26" t="str">
        <f t="shared" ref="H5:H68" si="12">IF(F5 &lt;&gt; 0,G5/F5,"")</f>
        <v/>
      </c>
      <c r="I5" s="19">
        <f>I4</f>
        <v>1</v>
      </c>
      <c r="J5" s="19">
        <f>COUNTIFS('C+8 Data'!$AB:$AB,I$1,'C+8 Data'!$I:$I,"Satisfactory (80%)")</f>
        <v>0</v>
      </c>
      <c r="K5" s="26">
        <f t="shared" ref="K5:K8" si="13">IF(I5 &lt;&gt; 0,J5/I5,"")</f>
        <v>0</v>
      </c>
      <c r="L5" s="19">
        <f>L4</f>
        <v>0</v>
      </c>
      <c r="M5" s="19">
        <f>COUNTIFS('C+8 Data'!$AB:$AB,L$1,'C+8 Data'!$I:$I,"Satisfactory (80%)")</f>
        <v>0</v>
      </c>
      <c r="N5" s="26" t="str">
        <f t="shared" ref="N5:N8" si="14">IF(L5 &lt;&gt; 0,M5/L5,"")</f>
        <v/>
      </c>
      <c r="O5" s="19">
        <f>O4</f>
        <v>0</v>
      </c>
      <c r="P5" s="19">
        <f>COUNTIFS('C+8 Data'!$AB:$AB,O$1,'C+8 Data'!$I:$I,"Satisfactory (80%)")</f>
        <v>0</v>
      </c>
      <c r="Q5" s="26" t="str">
        <f t="shared" ref="Q5:Q8" si="15">IF(O5 &lt;&gt; 0,P5/O5,"")</f>
        <v/>
      </c>
      <c r="R5" s="19">
        <f>R4</f>
        <v>0</v>
      </c>
      <c r="S5" s="19">
        <f>COUNTIFS('C+8 Data'!$AB:$AB,R$1,'C+8 Data'!$I:$I,"Satisfactory (80%)")</f>
        <v>0</v>
      </c>
      <c r="T5" s="26" t="str">
        <f t="shared" ref="T5:T8" si="16">IF(R5 &lt;&gt; 0,S5/R5,"")</f>
        <v/>
      </c>
      <c r="U5" s="19">
        <f>U4</f>
        <v>0</v>
      </c>
      <c r="V5" s="19">
        <f>COUNTIFS('C+8 Data'!$AB:$AB,U$1,'C+8 Data'!$I:$I,"Satisfactory (80%)")</f>
        <v>0</v>
      </c>
      <c r="W5" s="26" t="str">
        <f t="shared" ref="W5:W8" si="17">IF(U5 &lt;&gt; 0,V5/U5,"")</f>
        <v/>
      </c>
      <c r="X5" s="19">
        <f>X4</f>
        <v>0</v>
      </c>
      <c r="Y5" s="19">
        <f>COUNTIFS('C+8 Data'!$AB:$AB,X$1,'C+8 Data'!$I:$I,"Satisfactory (80%)")</f>
        <v>0</v>
      </c>
      <c r="Z5" s="26" t="str">
        <f t="shared" ref="Z5:Z8" si="18">IF(X5 &lt;&gt; 0,Y5/X5,"")</f>
        <v/>
      </c>
      <c r="AA5" s="19">
        <f>AA4</f>
        <v>0</v>
      </c>
      <c r="AB5" s="19">
        <f>COUNTIFS('C+8 Data'!$AB:$AB,AA$1,'C+8 Data'!$I:$I,"Satisfactory (80%)")</f>
        <v>0</v>
      </c>
      <c r="AC5" s="26" t="str">
        <f t="shared" ref="AC5:AC8" si="19">IF(AA5 &lt;&gt; 0,AB5/AA5,"")</f>
        <v/>
      </c>
      <c r="AD5" s="19">
        <f>AD4</f>
        <v>0</v>
      </c>
      <c r="AE5" s="19">
        <f>COUNTIFS('C+8 Data'!$AB:$AB,AD$1,'C+8 Data'!$I:$I,"Satisfactory (80%)")</f>
        <v>0</v>
      </c>
      <c r="AF5" s="26" t="str">
        <f t="shared" ref="AF5:AF8" si="20">IF(AD5 &lt;&gt; 0,AE5/AD5,"")</f>
        <v/>
      </c>
      <c r="AG5" s="19">
        <f>AG4</f>
        <v>0</v>
      </c>
      <c r="AH5" s="19">
        <f>COUNTIFS('C+8 Data'!$AB:$AB,AG$1,'C+8 Data'!$I:$I,"Satisfactory (80%)")</f>
        <v>0</v>
      </c>
      <c r="AI5" s="26" t="str">
        <f t="shared" ref="AI5:AI8" si="21">IF(AG5 &lt;&gt; 0,AH5/AG5,"")</f>
        <v/>
      </c>
      <c r="AJ5" s="19">
        <f>AJ4</f>
        <v>0</v>
      </c>
      <c r="AK5" s="19">
        <f>COUNTIFS('C+8 Data'!$AB:$AB,AJ$1,'C+8 Data'!$I:$I,"Satisfactory (80%)")</f>
        <v>0</v>
      </c>
      <c r="AL5" s="26" t="str">
        <f t="shared" ref="AL5:AL8" si="22">IF(AJ5 &lt;&gt; 0,AK5/AJ5,"")</f>
        <v/>
      </c>
      <c r="AM5" s="19">
        <f>AM4</f>
        <v>0</v>
      </c>
      <c r="AN5" s="19">
        <f>COUNTIFS('C+8 Data'!$AB:$AB,AM$1,'C+8 Data'!$I:$I,"Satisfactory (80%)")</f>
        <v>0</v>
      </c>
      <c r="AO5" s="26" t="str">
        <f t="shared" ref="AO5:AO8" si="23">IF(AM5 &lt;&gt; 0,AN5/AM5,"")</f>
        <v/>
      </c>
    </row>
    <row r="6" spans="1:41" x14ac:dyDescent="0.3">
      <c r="A6" s="24"/>
      <c r="B6" s="25" t="s">
        <v>76</v>
      </c>
      <c r="C6" s="19">
        <f>C5</f>
        <v>1</v>
      </c>
      <c r="D6" s="19">
        <f t="shared" si="10"/>
        <v>0</v>
      </c>
      <c r="E6" s="26">
        <f t="shared" si="11"/>
        <v>0</v>
      </c>
      <c r="F6" s="19">
        <f>F5</f>
        <v>0</v>
      </c>
      <c r="G6" s="19">
        <f>COUNTIFS('C+8 Data'!$AB:$AB,F$1,'C+8 Data'!$I:$I,"Average (60%)")</f>
        <v>0</v>
      </c>
      <c r="H6" s="26" t="str">
        <f t="shared" si="12"/>
        <v/>
      </c>
      <c r="I6" s="19">
        <f>I5</f>
        <v>1</v>
      </c>
      <c r="J6" s="19">
        <f>COUNTIFS('C+8 Data'!$AB:$AB,I$1,'C+8 Data'!$I:$I,"Average (60%)")</f>
        <v>0</v>
      </c>
      <c r="K6" s="26">
        <f t="shared" si="13"/>
        <v>0</v>
      </c>
      <c r="L6" s="19">
        <f>L5</f>
        <v>0</v>
      </c>
      <c r="M6" s="19">
        <f>COUNTIFS('C+8 Data'!$AB:$AB,L$1,'C+8 Data'!$I:$I,"Average (60%)")</f>
        <v>0</v>
      </c>
      <c r="N6" s="26" t="str">
        <f t="shared" si="14"/>
        <v/>
      </c>
      <c r="O6" s="19">
        <f>O5</f>
        <v>0</v>
      </c>
      <c r="P6" s="19">
        <f>COUNTIFS('C+8 Data'!$AB:$AB,O$1,'C+8 Data'!$I:$I,"Average (60%)")</f>
        <v>0</v>
      </c>
      <c r="Q6" s="26" t="str">
        <f t="shared" si="15"/>
        <v/>
      </c>
      <c r="R6" s="19">
        <f>R5</f>
        <v>0</v>
      </c>
      <c r="S6" s="19">
        <f>COUNTIFS('C+8 Data'!$AB:$AB,R$1,'C+8 Data'!$I:$I,"Average (60%)")</f>
        <v>0</v>
      </c>
      <c r="T6" s="26" t="str">
        <f t="shared" si="16"/>
        <v/>
      </c>
      <c r="U6" s="19">
        <f>U5</f>
        <v>0</v>
      </c>
      <c r="V6" s="19">
        <f>COUNTIFS('C+8 Data'!$AB:$AB,U$1,'C+8 Data'!$I:$I,"Average (60%)")</f>
        <v>0</v>
      </c>
      <c r="W6" s="26" t="str">
        <f t="shared" si="17"/>
        <v/>
      </c>
      <c r="X6" s="19">
        <f>X5</f>
        <v>0</v>
      </c>
      <c r="Y6" s="19">
        <f>COUNTIFS('C+8 Data'!$AB:$AB,X$1,'C+8 Data'!$I:$I,"Average (60%)")</f>
        <v>0</v>
      </c>
      <c r="Z6" s="26" t="str">
        <f t="shared" si="18"/>
        <v/>
      </c>
      <c r="AA6" s="19">
        <f>AA5</f>
        <v>0</v>
      </c>
      <c r="AB6" s="19">
        <f>COUNTIFS('C+8 Data'!$AB:$AB,AA$1,'C+8 Data'!$I:$I,"Average (60%)")</f>
        <v>0</v>
      </c>
      <c r="AC6" s="26" t="str">
        <f t="shared" si="19"/>
        <v/>
      </c>
      <c r="AD6" s="19">
        <f>AD5</f>
        <v>0</v>
      </c>
      <c r="AE6" s="19">
        <f>COUNTIFS('C+8 Data'!$AB:$AB,AD$1,'C+8 Data'!$I:$I,"Average (60%)")</f>
        <v>0</v>
      </c>
      <c r="AF6" s="26" t="str">
        <f t="shared" si="20"/>
        <v/>
      </c>
      <c r="AG6" s="19">
        <f>AG5</f>
        <v>0</v>
      </c>
      <c r="AH6" s="19">
        <f>COUNTIFS('C+8 Data'!$AB:$AB,AG$1,'C+8 Data'!$I:$I,"Average (60%)")</f>
        <v>0</v>
      </c>
      <c r="AI6" s="26" t="str">
        <f t="shared" si="21"/>
        <v/>
      </c>
      <c r="AJ6" s="19">
        <f>AJ5</f>
        <v>0</v>
      </c>
      <c r="AK6" s="19">
        <f>COUNTIFS('C+8 Data'!$AB:$AB,AJ$1,'C+8 Data'!$I:$I,"Average (60%)")</f>
        <v>0</v>
      </c>
      <c r="AL6" s="26" t="str">
        <f t="shared" si="22"/>
        <v/>
      </c>
      <c r="AM6" s="19">
        <f>AM5</f>
        <v>0</v>
      </c>
      <c r="AN6" s="19">
        <f>COUNTIFS('C+8 Data'!$AB:$AB,AM$1,'C+8 Data'!$I:$I,"Average (60%)")</f>
        <v>0</v>
      </c>
      <c r="AO6" s="26" t="str">
        <f t="shared" si="23"/>
        <v/>
      </c>
    </row>
    <row r="7" spans="1:41" x14ac:dyDescent="0.3">
      <c r="A7" s="24"/>
      <c r="B7" s="25" t="s">
        <v>77</v>
      </c>
      <c r="C7" s="19">
        <f>C6</f>
        <v>1</v>
      </c>
      <c r="D7" s="19">
        <f t="shared" si="10"/>
        <v>0</v>
      </c>
      <c r="E7" s="26">
        <f t="shared" si="11"/>
        <v>0</v>
      </c>
      <c r="F7" s="19">
        <f>F6</f>
        <v>0</v>
      </c>
      <c r="G7" s="19">
        <f>COUNTIFS('C+8 Data'!$AB:$AB,F$1,'C+8 Data'!$I:$I,"Unsatisfactory (40%)")</f>
        <v>0</v>
      </c>
      <c r="H7" s="26" t="str">
        <f t="shared" si="12"/>
        <v/>
      </c>
      <c r="I7" s="19">
        <f>I6</f>
        <v>1</v>
      </c>
      <c r="J7" s="19">
        <f>COUNTIFS('C+8 Data'!$AB:$AB,I$1,'C+8 Data'!$I:$I,"Unsatisfactory (40%)")</f>
        <v>0</v>
      </c>
      <c r="K7" s="26">
        <f t="shared" si="13"/>
        <v>0</v>
      </c>
      <c r="L7" s="19">
        <f>L6</f>
        <v>0</v>
      </c>
      <c r="M7" s="19">
        <f>COUNTIFS('C+8 Data'!$AB:$AB,L$1,'C+8 Data'!$I:$I,"Unsatisfactory (40%)")</f>
        <v>0</v>
      </c>
      <c r="N7" s="26" t="str">
        <f t="shared" si="14"/>
        <v/>
      </c>
      <c r="O7" s="19">
        <f>O6</f>
        <v>0</v>
      </c>
      <c r="P7" s="19">
        <f>COUNTIFS('C+8 Data'!$AB:$AB,O$1,'C+8 Data'!$I:$I,"Unsatisfactory (40%)")</f>
        <v>0</v>
      </c>
      <c r="Q7" s="26" t="str">
        <f t="shared" si="15"/>
        <v/>
      </c>
      <c r="R7" s="19">
        <f>R6</f>
        <v>0</v>
      </c>
      <c r="S7" s="19">
        <f>COUNTIFS('C+8 Data'!$AB:$AB,R$1,'C+8 Data'!$I:$I,"Unsatisfactory (40%)")</f>
        <v>0</v>
      </c>
      <c r="T7" s="26" t="str">
        <f t="shared" si="16"/>
        <v/>
      </c>
      <c r="U7" s="19">
        <f>U6</f>
        <v>0</v>
      </c>
      <c r="V7" s="19">
        <f>COUNTIFS('C+8 Data'!$AB:$AB,U$1,'C+8 Data'!$I:$I,"Unsatisfactory (40%)")</f>
        <v>0</v>
      </c>
      <c r="W7" s="26" t="str">
        <f t="shared" si="17"/>
        <v/>
      </c>
      <c r="X7" s="19">
        <f>X6</f>
        <v>0</v>
      </c>
      <c r="Y7" s="19">
        <f>COUNTIFS('C+8 Data'!$AB:$AB,X$1,'C+8 Data'!$I:$I,"Unsatisfactory (40%)")</f>
        <v>0</v>
      </c>
      <c r="Z7" s="26" t="str">
        <f t="shared" si="18"/>
        <v/>
      </c>
      <c r="AA7" s="19">
        <f>AA6</f>
        <v>0</v>
      </c>
      <c r="AB7" s="19">
        <f>COUNTIFS('C+8 Data'!$AB:$AB,AA$1,'C+8 Data'!$I:$I,"Unsatisfactory (40%)")</f>
        <v>0</v>
      </c>
      <c r="AC7" s="26" t="str">
        <f t="shared" si="19"/>
        <v/>
      </c>
      <c r="AD7" s="19">
        <f>AD6</f>
        <v>0</v>
      </c>
      <c r="AE7" s="19">
        <f>COUNTIFS('C+8 Data'!$AB:$AB,AD$1,'C+8 Data'!$I:$I,"Unsatisfactory (40%)")</f>
        <v>0</v>
      </c>
      <c r="AF7" s="26" t="str">
        <f t="shared" si="20"/>
        <v/>
      </c>
      <c r="AG7" s="19">
        <f>AG6</f>
        <v>0</v>
      </c>
      <c r="AH7" s="19">
        <f>COUNTIFS('C+8 Data'!$AB:$AB,AG$1,'C+8 Data'!$I:$I,"Unsatisfactory (40%)")</f>
        <v>0</v>
      </c>
      <c r="AI7" s="26" t="str">
        <f t="shared" si="21"/>
        <v/>
      </c>
      <c r="AJ7" s="19">
        <f>AJ6</f>
        <v>0</v>
      </c>
      <c r="AK7" s="19">
        <f>COUNTIFS('C+8 Data'!$AB:$AB,AJ$1,'C+8 Data'!$I:$I,"Unsatisfactory (40%)")</f>
        <v>0</v>
      </c>
      <c r="AL7" s="26" t="str">
        <f t="shared" si="22"/>
        <v/>
      </c>
      <c r="AM7" s="19">
        <f>AM6</f>
        <v>0</v>
      </c>
      <c r="AN7" s="19">
        <f>COUNTIFS('C+8 Data'!$AB:$AB,AM$1,'C+8 Data'!$I:$I,"Unsatisfactory (40%)")</f>
        <v>0</v>
      </c>
      <c r="AO7" s="26" t="str">
        <f t="shared" si="23"/>
        <v/>
      </c>
    </row>
    <row r="8" spans="1:41" x14ac:dyDescent="0.3">
      <c r="A8" s="24"/>
      <c r="B8" s="25" t="s">
        <v>78</v>
      </c>
      <c r="C8" s="19">
        <f>C7</f>
        <v>1</v>
      </c>
      <c r="D8" s="19">
        <f t="shared" si="10"/>
        <v>0</v>
      </c>
      <c r="E8" s="26">
        <f t="shared" si="11"/>
        <v>0</v>
      </c>
      <c r="F8" s="19">
        <f>F7</f>
        <v>0</v>
      </c>
      <c r="G8" s="19">
        <f>COUNTIFS('C+8 Data'!$AB:$AB,F$1,'C+8 Data'!$I:$I,"Very Unsatisfactory (20%)")</f>
        <v>0</v>
      </c>
      <c r="H8" s="26" t="str">
        <f t="shared" si="12"/>
        <v/>
      </c>
      <c r="I8" s="19">
        <f>I7</f>
        <v>1</v>
      </c>
      <c r="J8" s="19">
        <f>COUNTIFS('C+8 Data'!$AB:$AB,I$1,'C+8 Data'!$I:$I,"Very Unsatisfactory (20%)")</f>
        <v>0</v>
      </c>
      <c r="K8" s="26">
        <f t="shared" si="13"/>
        <v>0</v>
      </c>
      <c r="L8" s="19">
        <f>L7</f>
        <v>0</v>
      </c>
      <c r="M8" s="19">
        <f>COUNTIFS('C+8 Data'!$AB:$AB,L$1,'C+8 Data'!$I:$I,"Very Unsatisfactory (20%)")</f>
        <v>0</v>
      </c>
      <c r="N8" s="26" t="str">
        <f t="shared" si="14"/>
        <v/>
      </c>
      <c r="O8" s="19">
        <f>O7</f>
        <v>0</v>
      </c>
      <c r="P8" s="19">
        <f>COUNTIFS('C+8 Data'!$AB:$AB,O$1,'C+8 Data'!$I:$I,"Very Unsatisfactory (20%)")</f>
        <v>0</v>
      </c>
      <c r="Q8" s="26" t="str">
        <f t="shared" si="15"/>
        <v/>
      </c>
      <c r="R8" s="19">
        <f>R7</f>
        <v>0</v>
      </c>
      <c r="S8" s="19">
        <f>COUNTIFS('C+8 Data'!$AB:$AB,R$1,'C+8 Data'!$I:$I,"Very Unsatisfactory (20%)")</f>
        <v>0</v>
      </c>
      <c r="T8" s="26" t="str">
        <f t="shared" si="16"/>
        <v/>
      </c>
      <c r="U8" s="19">
        <f>U7</f>
        <v>0</v>
      </c>
      <c r="V8" s="19">
        <f>COUNTIFS('C+8 Data'!$AB:$AB,U$1,'C+8 Data'!$I:$I,"Very Unsatisfactory (20%)")</f>
        <v>0</v>
      </c>
      <c r="W8" s="26" t="str">
        <f t="shared" si="17"/>
        <v/>
      </c>
      <c r="X8" s="19">
        <f>X7</f>
        <v>0</v>
      </c>
      <c r="Y8" s="19">
        <f>COUNTIFS('C+8 Data'!$AB:$AB,X$1,'C+8 Data'!$I:$I,"Very Unsatisfactory (20%)")</f>
        <v>0</v>
      </c>
      <c r="Z8" s="26" t="str">
        <f t="shared" si="18"/>
        <v/>
      </c>
      <c r="AA8" s="19">
        <f>AA7</f>
        <v>0</v>
      </c>
      <c r="AB8" s="19">
        <f>COUNTIFS('C+8 Data'!$AB:$AB,AA$1,'C+8 Data'!$I:$I,"Very Unsatisfactory (20%)")</f>
        <v>0</v>
      </c>
      <c r="AC8" s="26" t="str">
        <f t="shared" si="19"/>
        <v/>
      </c>
      <c r="AD8" s="19">
        <f>AD7</f>
        <v>0</v>
      </c>
      <c r="AE8" s="19">
        <f>COUNTIFS('C+8 Data'!$AB:$AB,AD$1,'C+8 Data'!$I:$I,"Very Unsatisfactory (20%)")</f>
        <v>0</v>
      </c>
      <c r="AF8" s="26" t="str">
        <f t="shared" si="20"/>
        <v/>
      </c>
      <c r="AG8" s="19">
        <f>AG7</f>
        <v>0</v>
      </c>
      <c r="AH8" s="19">
        <f>COUNTIFS('C+8 Data'!$AB:$AB,AG$1,'C+8 Data'!$I:$I,"Very Unsatisfactory (20%)")</f>
        <v>0</v>
      </c>
      <c r="AI8" s="26" t="str">
        <f t="shared" si="21"/>
        <v/>
      </c>
      <c r="AJ8" s="19">
        <f>AJ7</f>
        <v>0</v>
      </c>
      <c r="AK8" s="19">
        <f>COUNTIFS('C+8 Data'!$AB:$AB,AJ$1,'C+8 Data'!$I:$I,"Very Unsatisfactory (20%)")</f>
        <v>0</v>
      </c>
      <c r="AL8" s="26" t="str">
        <f t="shared" si="22"/>
        <v/>
      </c>
      <c r="AM8" s="19">
        <f>AM7</f>
        <v>0</v>
      </c>
      <c r="AN8" s="19">
        <f>COUNTIFS('C+8 Data'!$AB:$AB,AM$1,'C+8 Data'!$I:$I,"Very Unsatisfactory (20%)")</f>
        <v>0</v>
      </c>
      <c r="AO8" s="26" t="str">
        <f t="shared" si="23"/>
        <v/>
      </c>
    </row>
    <row r="9" spans="1:41" ht="26.4" x14ac:dyDescent="0.3">
      <c r="A9" s="19">
        <v>2</v>
      </c>
      <c r="B9" s="18" t="s">
        <v>5</v>
      </c>
      <c r="C9" s="19"/>
      <c r="D9" s="19"/>
      <c r="E9" s="26"/>
      <c r="F9" s="21"/>
      <c r="G9" s="21"/>
      <c r="H9" s="26"/>
      <c r="I9" s="21"/>
      <c r="J9" s="21"/>
      <c r="K9" s="26"/>
      <c r="L9" s="21"/>
      <c r="M9" s="21"/>
      <c r="N9" s="26"/>
      <c r="O9" s="21"/>
      <c r="P9" s="21"/>
      <c r="Q9" s="26"/>
      <c r="R9" s="21"/>
      <c r="S9" s="21"/>
      <c r="T9" s="26"/>
      <c r="U9" s="21"/>
      <c r="V9" s="21"/>
      <c r="W9" s="26"/>
      <c r="X9" s="21"/>
      <c r="Y9" s="21"/>
      <c r="Z9" s="26"/>
      <c r="AA9" s="21"/>
      <c r="AB9" s="21"/>
      <c r="AC9" s="26"/>
      <c r="AD9" s="21"/>
      <c r="AE9" s="21"/>
      <c r="AF9" s="26"/>
      <c r="AG9" s="21"/>
      <c r="AH9" s="21"/>
      <c r="AI9" s="26"/>
      <c r="AJ9" s="21"/>
      <c r="AK9" s="21"/>
      <c r="AL9" s="26"/>
      <c r="AM9" s="21"/>
      <c r="AN9" s="21"/>
      <c r="AO9" s="26"/>
    </row>
    <row r="10" spans="1:41" x14ac:dyDescent="0.3">
      <c r="A10" s="24"/>
      <c r="B10" s="25" t="s">
        <v>74</v>
      </c>
      <c r="C10" s="19">
        <f>COUNTIF('C+8 Data'!$I:$I,"&lt;&gt;" &amp; "")-1</f>
        <v>1</v>
      </c>
      <c r="D10" s="19">
        <f t="shared" si="10"/>
        <v>1</v>
      </c>
      <c r="E10" s="26">
        <f t="shared" si="11"/>
        <v>1</v>
      </c>
      <c r="F10" s="19">
        <f>COUNTIFS('C+8 Data'!$AB:$AB,F$1,'C+8 Data'!$J:$J,"&lt;&gt;" &amp; "")</f>
        <v>0</v>
      </c>
      <c r="G10" s="19">
        <f>COUNTIFS('C+8 Data'!$AB:$AB,F$1,'C+8 Data'!$J:$J,"Very satisfactory (100%)")</f>
        <v>0</v>
      </c>
      <c r="H10" s="26" t="str">
        <f t="shared" si="12"/>
        <v/>
      </c>
      <c r="I10" s="19">
        <f>COUNTIFS('C+8 Data'!$AB:$AB,I$1,'C+8 Data'!$J:$J,"&lt;&gt;" &amp; "")</f>
        <v>1</v>
      </c>
      <c r="J10" s="19">
        <f>COUNTIFS('C+8 Data'!$AB:$AB,I$1,'C+8 Data'!$J:$J,"Very satisfactory (100%)")</f>
        <v>1</v>
      </c>
      <c r="K10" s="26">
        <f t="shared" ref="K10:K14" si="24">IF(I10 &lt;&gt; 0,J10/I10,"")</f>
        <v>1</v>
      </c>
      <c r="L10" s="19">
        <f>COUNTIFS('C+8 Data'!$AB:$AB,L$1,'C+8 Data'!$J:$J,"&lt;&gt;" &amp; "")</f>
        <v>0</v>
      </c>
      <c r="M10" s="19">
        <f>COUNTIFS('C+8 Data'!$AB:$AB,L$1,'C+8 Data'!$J:$J,"Very satisfactory (100%)")</f>
        <v>0</v>
      </c>
      <c r="N10" s="26" t="str">
        <f t="shared" ref="N10:N14" si="25">IF(L10 &lt;&gt; 0,M10/L10,"")</f>
        <v/>
      </c>
      <c r="O10" s="19">
        <f>COUNTIFS('C+8 Data'!$AB:$AB,O$1,'C+8 Data'!$J:$J,"&lt;&gt;" &amp; "")</f>
        <v>0</v>
      </c>
      <c r="P10" s="19">
        <f>COUNTIFS('C+8 Data'!$AB:$AB,O$1,'C+8 Data'!$J:$J,"Very satisfactory (100%)")</f>
        <v>0</v>
      </c>
      <c r="Q10" s="26" t="str">
        <f t="shared" ref="Q10:Q14" si="26">IF(O10 &lt;&gt; 0,P10/O10,"")</f>
        <v/>
      </c>
      <c r="R10" s="19">
        <f>COUNTIFS('C+8 Data'!$AB:$AB,R$1,'C+8 Data'!$J:$J,"&lt;&gt;" &amp; "")</f>
        <v>0</v>
      </c>
      <c r="S10" s="19">
        <f>COUNTIFS('C+8 Data'!$AB:$AB,R$1,'C+8 Data'!$J:$J,"Very satisfactory (100%)")</f>
        <v>0</v>
      </c>
      <c r="T10" s="26" t="str">
        <f t="shared" ref="T10:T14" si="27">IF(R10 &lt;&gt; 0,S10/R10,"")</f>
        <v/>
      </c>
      <c r="U10" s="19">
        <f>COUNTIFS('C+8 Data'!$AB:$AB,U$1,'C+8 Data'!$J:$J,"&lt;&gt;" &amp; "")</f>
        <v>0</v>
      </c>
      <c r="V10" s="19">
        <f>COUNTIFS('C+8 Data'!$AB:$AB,U$1,'C+8 Data'!$J:$J,"Very satisfactory (100%)")</f>
        <v>0</v>
      </c>
      <c r="W10" s="26" t="str">
        <f t="shared" ref="W10:W14" si="28">IF(U10 &lt;&gt; 0,V10/U10,"")</f>
        <v/>
      </c>
      <c r="X10" s="19">
        <f>COUNTIFS('C+8 Data'!$AB:$AB,X$1,'C+8 Data'!$J:$J,"&lt;&gt;" &amp; "")</f>
        <v>0</v>
      </c>
      <c r="Y10" s="19">
        <f>COUNTIFS('C+8 Data'!$AB:$AB,X$1,'C+8 Data'!$J:$J,"Very satisfactory (100%)")</f>
        <v>0</v>
      </c>
      <c r="Z10" s="26" t="str">
        <f t="shared" ref="Z10:Z14" si="29">IF(X10 &lt;&gt; 0,Y10/X10,"")</f>
        <v/>
      </c>
      <c r="AA10" s="19">
        <f>COUNTIFS('C+8 Data'!$AB:$AB,AA$1,'C+8 Data'!$J:$J,"&lt;&gt;" &amp; "")</f>
        <v>0</v>
      </c>
      <c r="AB10" s="19">
        <f>COUNTIFS('C+8 Data'!$AB:$AB,AA$1,'C+8 Data'!$J:$J,"Very satisfactory (100%)")</f>
        <v>0</v>
      </c>
      <c r="AC10" s="26" t="str">
        <f t="shared" ref="AC10:AC14" si="30">IF(AA10 &lt;&gt; 0,AB10/AA10,"")</f>
        <v/>
      </c>
      <c r="AD10" s="19">
        <f>COUNTIFS('C+8 Data'!$AB:$AB,AD$1,'C+8 Data'!$J:$J,"&lt;&gt;" &amp; "")</f>
        <v>0</v>
      </c>
      <c r="AE10" s="19">
        <f>COUNTIFS('C+8 Data'!$AB:$AB,AD$1,'C+8 Data'!$J:$J,"Very satisfactory (100%)")</f>
        <v>0</v>
      </c>
      <c r="AF10" s="26" t="str">
        <f t="shared" ref="AF10:AF14" si="31">IF(AD10 &lt;&gt; 0,AE10/AD10,"")</f>
        <v/>
      </c>
      <c r="AG10" s="19">
        <f>COUNTIFS('C+8 Data'!$AB:$AB,AG$1,'C+8 Data'!$J:$J,"&lt;&gt;" &amp; "")</f>
        <v>0</v>
      </c>
      <c r="AH10" s="19">
        <f>COUNTIFS('C+8 Data'!$AB:$AB,AG$1,'C+8 Data'!$J:$J,"Very satisfactory (100%)")</f>
        <v>0</v>
      </c>
      <c r="AI10" s="26" t="str">
        <f t="shared" ref="AI10:AI14" si="32">IF(AG10 &lt;&gt; 0,AH10/AG10,"")</f>
        <v/>
      </c>
      <c r="AJ10" s="19">
        <f>COUNTIFS('C+8 Data'!$AB:$AB,AJ$1,'C+8 Data'!$J:$J,"&lt;&gt;" &amp; "")</f>
        <v>0</v>
      </c>
      <c r="AK10" s="19">
        <f>COUNTIFS('C+8 Data'!$AB:$AB,AJ$1,'C+8 Data'!$J:$J,"Very satisfactory (100%)")</f>
        <v>0</v>
      </c>
      <c r="AL10" s="26" t="str">
        <f t="shared" ref="AL10:AL14" si="33">IF(AJ10 &lt;&gt; 0,AK10/AJ10,"")</f>
        <v/>
      </c>
      <c r="AM10" s="19">
        <f>COUNTIFS('C+8 Data'!$AB:$AB,AM$1,'C+8 Data'!$J:$J,"&lt;&gt;" &amp; "")</f>
        <v>0</v>
      </c>
      <c r="AN10" s="19">
        <f>COUNTIFS('C+8 Data'!$AB:$AB,AM$1,'C+8 Data'!$J:$J,"Very satisfactory (100%)")</f>
        <v>0</v>
      </c>
      <c r="AO10" s="26" t="str">
        <f t="shared" ref="AO10:AO14" si="34">IF(AM10 &lt;&gt; 0,AN10/AM10,"")</f>
        <v/>
      </c>
    </row>
    <row r="11" spans="1:41" x14ac:dyDescent="0.3">
      <c r="A11" s="24"/>
      <c r="B11" s="25" t="s">
        <v>75</v>
      </c>
      <c r="C11" s="19">
        <f>C10</f>
        <v>1</v>
      </c>
      <c r="D11" s="19">
        <f t="shared" si="10"/>
        <v>0</v>
      </c>
      <c r="E11" s="26">
        <f t="shared" si="11"/>
        <v>0</v>
      </c>
      <c r="F11" s="19">
        <f>F10</f>
        <v>0</v>
      </c>
      <c r="G11" s="19">
        <f>COUNTIFS('C+8 Data'!$AB:$AB,F$1,'C+8 Data'!$J:$J,"Satisfactory (80%)")</f>
        <v>0</v>
      </c>
      <c r="H11" s="26" t="str">
        <f t="shared" si="12"/>
        <v/>
      </c>
      <c r="I11" s="19">
        <f>I10</f>
        <v>1</v>
      </c>
      <c r="J11" s="19">
        <f>COUNTIFS('C+8 Data'!$AB:$AB,I$1,'C+8 Data'!$J:$J,"Satisfactory (80%)")</f>
        <v>0</v>
      </c>
      <c r="K11" s="26">
        <f t="shared" si="24"/>
        <v>0</v>
      </c>
      <c r="L11" s="19">
        <f>L10</f>
        <v>0</v>
      </c>
      <c r="M11" s="19">
        <f>COUNTIFS('C+8 Data'!$AB:$AB,L$1,'C+8 Data'!$J:$J,"Satisfactory (80%)")</f>
        <v>0</v>
      </c>
      <c r="N11" s="26" t="str">
        <f t="shared" si="25"/>
        <v/>
      </c>
      <c r="O11" s="19">
        <f>O10</f>
        <v>0</v>
      </c>
      <c r="P11" s="19">
        <f>COUNTIFS('C+8 Data'!$AB:$AB,O$1,'C+8 Data'!$J:$J,"Satisfactory (80%)")</f>
        <v>0</v>
      </c>
      <c r="Q11" s="26" t="str">
        <f t="shared" si="26"/>
        <v/>
      </c>
      <c r="R11" s="19">
        <f>R10</f>
        <v>0</v>
      </c>
      <c r="S11" s="19">
        <f>COUNTIFS('C+8 Data'!$AB:$AB,R$1,'C+8 Data'!$J:$J,"Satisfactory (80%)")</f>
        <v>0</v>
      </c>
      <c r="T11" s="26" t="str">
        <f t="shared" si="27"/>
        <v/>
      </c>
      <c r="U11" s="19">
        <f>U10</f>
        <v>0</v>
      </c>
      <c r="V11" s="19">
        <f>COUNTIFS('C+8 Data'!$AB:$AB,U$1,'C+8 Data'!$J:$J,"Satisfactory (80%)")</f>
        <v>0</v>
      </c>
      <c r="W11" s="26" t="str">
        <f t="shared" si="28"/>
        <v/>
      </c>
      <c r="X11" s="19">
        <f>X10</f>
        <v>0</v>
      </c>
      <c r="Y11" s="19">
        <f>COUNTIFS('C+8 Data'!$AB:$AB,X$1,'C+8 Data'!$J:$J,"Satisfactory (80%)")</f>
        <v>0</v>
      </c>
      <c r="Z11" s="26" t="str">
        <f t="shared" si="29"/>
        <v/>
      </c>
      <c r="AA11" s="19">
        <f>AA10</f>
        <v>0</v>
      </c>
      <c r="AB11" s="19">
        <f>COUNTIFS('C+8 Data'!$AB:$AB,AA$1,'C+8 Data'!$J:$J,"Satisfactory (80%)")</f>
        <v>0</v>
      </c>
      <c r="AC11" s="26" t="str">
        <f t="shared" si="30"/>
        <v/>
      </c>
      <c r="AD11" s="19">
        <f>AD10</f>
        <v>0</v>
      </c>
      <c r="AE11" s="19">
        <f>COUNTIFS('C+8 Data'!$AB:$AB,AD$1,'C+8 Data'!$J:$J,"Satisfactory (80%)")</f>
        <v>0</v>
      </c>
      <c r="AF11" s="26" t="str">
        <f t="shared" si="31"/>
        <v/>
      </c>
      <c r="AG11" s="19">
        <f>AG10</f>
        <v>0</v>
      </c>
      <c r="AH11" s="19">
        <f>COUNTIFS('C+8 Data'!$AB:$AB,AG$1,'C+8 Data'!$J:$J,"Satisfactory (80%)")</f>
        <v>0</v>
      </c>
      <c r="AI11" s="26" t="str">
        <f t="shared" si="32"/>
        <v/>
      </c>
      <c r="AJ11" s="19">
        <f>AJ10</f>
        <v>0</v>
      </c>
      <c r="AK11" s="19">
        <f>COUNTIFS('C+8 Data'!$AB:$AB,AJ$1,'C+8 Data'!$J:$J,"Satisfactory (80%)")</f>
        <v>0</v>
      </c>
      <c r="AL11" s="26" t="str">
        <f t="shared" si="33"/>
        <v/>
      </c>
      <c r="AM11" s="19">
        <f>AM10</f>
        <v>0</v>
      </c>
      <c r="AN11" s="19">
        <f>COUNTIFS('C+8 Data'!$AB:$AB,AM$1,'C+8 Data'!$J:$J,"Satisfactory (80%)")</f>
        <v>0</v>
      </c>
      <c r="AO11" s="26" t="str">
        <f t="shared" si="34"/>
        <v/>
      </c>
    </row>
    <row r="12" spans="1:41" x14ac:dyDescent="0.3">
      <c r="A12" s="24"/>
      <c r="B12" s="25" t="s">
        <v>76</v>
      </c>
      <c r="C12" s="19">
        <f>C11</f>
        <v>1</v>
      </c>
      <c r="D12" s="19">
        <f t="shared" si="10"/>
        <v>0</v>
      </c>
      <c r="E12" s="26">
        <f t="shared" si="11"/>
        <v>0</v>
      </c>
      <c r="F12" s="19">
        <f t="shared" ref="F12:F14" si="35">F11</f>
        <v>0</v>
      </c>
      <c r="G12" s="19">
        <f>COUNTIFS('C+8 Data'!$AB:$AB,F$1,'C+8 Data'!$J:$J,"Average (60%)")</f>
        <v>0</v>
      </c>
      <c r="H12" s="26" t="str">
        <f t="shared" si="12"/>
        <v/>
      </c>
      <c r="I12" s="19">
        <f t="shared" ref="I12:I14" si="36">I11</f>
        <v>1</v>
      </c>
      <c r="J12" s="19">
        <f>COUNTIFS('C+8 Data'!$AB:$AB,I$1,'C+8 Data'!$J:$J,"Average (60%)")</f>
        <v>0</v>
      </c>
      <c r="K12" s="26">
        <f t="shared" si="24"/>
        <v>0</v>
      </c>
      <c r="L12" s="19">
        <f t="shared" ref="L12:L14" si="37">L11</f>
        <v>0</v>
      </c>
      <c r="M12" s="19">
        <f>COUNTIFS('C+8 Data'!$AB:$AB,L$1,'C+8 Data'!$J:$J,"Average (60%)")</f>
        <v>0</v>
      </c>
      <c r="N12" s="26" t="str">
        <f t="shared" si="25"/>
        <v/>
      </c>
      <c r="O12" s="19">
        <f t="shared" ref="O12:O14" si="38">O11</f>
        <v>0</v>
      </c>
      <c r="P12" s="19">
        <f>COUNTIFS('C+8 Data'!$AB:$AB,O$1,'C+8 Data'!$J:$J,"Average (60%)")</f>
        <v>0</v>
      </c>
      <c r="Q12" s="26" t="str">
        <f t="shared" si="26"/>
        <v/>
      </c>
      <c r="R12" s="19">
        <f t="shared" ref="R12:R14" si="39">R11</f>
        <v>0</v>
      </c>
      <c r="S12" s="19">
        <f>COUNTIFS('C+8 Data'!$AB:$AB,R$1,'C+8 Data'!$J:$J,"Average (60%)")</f>
        <v>0</v>
      </c>
      <c r="T12" s="26" t="str">
        <f t="shared" si="27"/>
        <v/>
      </c>
      <c r="U12" s="19">
        <f t="shared" ref="U12:U14" si="40">U11</f>
        <v>0</v>
      </c>
      <c r="V12" s="19">
        <f>COUNTIFS('C+8 Data'!$AB:$AB,U$1,'C+8 Data'!$J:$J,"Average (60%)")</f>
        <v>0</v>
      </c>
      <c r="W12" s="26" t="str">
        <f t="shared" si="28"/>
        <v/>
      </c>
      <c r="X12" s="19">
        <f t="shared" ref="X12:X14" si="41">X11</f>
        <v>0</v>
      </c>
      <c r="Y12" s="19">
        <f>COUNTIFS('C+8 Data'!$AB:$AB,X$1,'C+8 Data'!$J:$J,"Average (60%)")</f>
        <v>0</v>
      </c>
      <c r="Z12" s="26" t="str">
        <f t="shared" si="29"/>
        <v/>
      </c>
      <c r="AA12" s="19">
        <f t="shared" ref="AA12:AA14" si="42">AA11</f>
        <v>0</v>
      </c>
      <c r="AB12" s="19">
        <f>COUNTIFS('C+8 Data'!$AB:$AB,AA$1,'C+8 Data'!$J:$J,"Average (60%)")</f>
        <v>0</v>
      </c>
      <c r="AC12" s="26" t="str">
        <f t="shared" si="30"/>
        <v/>
      </c>
      <c r="AD12" s="19">
        <f t="shared" ref="AD12:AD14" si="43">AD11</f>
        <v>0</v>
      </c>
      <c r="AE12" s="19">
        <f>COUNTIFS('C+8 Data'!$AB:$AB,AD$1,'C+8 Data'!$J:$J,"Average (60%)")</f>
        <v>0</v>
      </c>
      <c r="AF12" s="26" t="str">
        <f t="shared" si="31"/>
        <v/>
      </c>
      <c r="AG12" s="19">
        <f t="shared" ref="AG12:AG14" si="44">AG11</f>
        <v>0</v>
      </c>
      <c r="AH12" s="19">
        <f>COUNTIFS('C+8 Data'!$AB:$AB,AG$1,'C+8 Data'!$J:$J,"Average (60%)")</f>
        <v>0</v>
      </c>
      <c r="AI12" s="26" t="str">
        <f t="shared" si="32"/>
        <v/>
      </c>
      <c r="AJ12" s="19">
        <f t="shared" ref="AJ12:AJ14" si="45">AJ11</f>
        <v>0</v>
      </c>
      <c r="AK12" s="19">
        <f>COUNTIFS('C+8 Data'!$AB:$AB,AJ$1,'C+8 Data'!$J:$J,"Average (60%)")</f>
        <v>0</v>
      </c>
      <c r="AL12" s="26" t="str">
        <f t="shared" si="33"/>
        <v/>
      </c>
      <c r="AM12" s="19">
        <f t="shared" ref="AM12:AM14" si="46">AM11</f>
        <v>0</v>
      </c>
      <c r="AN12" s="19">
        <f>COUNTIFS('C+8 Data'!$AB:$AB,AM$1,'C+8 Data'!$J:$J,"Average (60%)")</f>
        <v>0</v>
      </c>
      <c r="AO12" s="26" t="str">
        <f t="shared" si="34"/>
        <v/>
      </c>
    </row>
    <row r="13" spans="1:41" x14ac:dyDescent="0.3">
      <c r="A13" s="24"/>
      <c r="B13" s="25" t="s">
        <v>77</v>
      </c>
      <c r="C13" s="19">
        <f>C12</f>
        <v>1</v>
      </c>
      <c r="D13" s="19">
        <f t="shared" si="10"/>
        <v>0</v>
      </c>
      <c r="E13" s="26">
        <f t="shared" si="11"/>
        <v>0</v>
      </c>
      <c r="F13" s="19">
        <f t="shared" si="35"/>
        <v>0</v>
      </c>
      <c r="G13" s="19">
        <f>COUNTIFS('C+8 Data'!$AB:$AB,F$1,'C+8 Data'!$J:$J,"Unsatisfactory (40%)")</f>
        <v>0</v>
      </c>
      <c r="H13" s="26" t="str">
        <f t="shared" si="12"/>
        <v/>
      </c>
      <c r="I13" s="19">
        <f t="shared" si="36"/>
        <v>1</v>
      </c>
      <c r="J13" s="19">
        <f>COUNTIFS('C+8 Data'!$AB:$AB,I$1,'C+8 Data'!$J:$J,"Unsatisfactory (40%)")</f>
        <v>0</v>
      </c>
      <c r="K13" s="26">
        <f t="shared" si="24"/>
        <v>0</v>
      </c>
      <c r="L13" s="19">
        <f t="shared" si="37"/>
        <v>0</v>
      </c>
      <c r="M13" s="19">
        <f>COUNTIFS('C+8 Data'!$AB:$AB,L$1,'C+8 Data'!$J:$J,"Unsatisfactory (40%)")</f>
        <v>0</v>
      </c>
      <c r="N13" s="26" t="str">
        <f t="shared" si="25"/>
        <v/>
      </c>
      <c r="O13" s="19">
        <f t="shared" si="38"/>
        <v>0</v>
      </c>
      <c r="P13" s="19">
        <f>COUNTIFS('C+8 Data'!$AB:$AB,O$1,'C+8 Data'!$J:$J,"Unsatisfactory (40%)")</f>
        <v>0</v>
      </c>
      <c r="Q13" s="26" t="str">
        <f t="shared" si="26"/>
        <v/>
      </c>
      <c r="R13" s="19">
        <f t="shared" si="39"/>
        <v>0</v>
      </c>
      <c r="S13" s="19">
        <f>COUNTIFS('C+8 Data'!$AB:$AB,R$1,'C+8 Data'!$J:$J,"Unsatisfactory (40%)")</f>
        <v>0</v>
      </c>
      <c r="T13" s="26" t="str">
        <f t="shared" si="27"/>
        <v/>
      </c>
      <c r="U13" s="19">
        <f t="shared" si="40"/>
        <v>0</v>
      </c>
      <c r="V13" s="19">
        <f>COUNTIFS('C+8 Data'!$AB:$AB,U$1,'C+8 Data'!$J:$J,"Unsatisfactory (40%)")</f>
        <v>0</v>
      </c>
      <c r="W13" s="26" t="str">
        <f t="shared" si="28"/>
        <v/>
      </c>
      <c r="X13" s="19">
        <f t="shared" si="41"/>
        <v>0</v>
      </c>
      <c r="Y13" s="19">
        <f>COUNTIFS('C+8 Data'!$AB:$AB,X$1,'C+8 Data'!$J:$J,"Unsatisfactory (40%)")</f>
        <v>0</v>
      </c>
      <c r="Z13" s="26" t="str">
        <f t="shared" si="29"/>
        <v/>
      </c>
      <c r="AA13" s="19">
        <f t="shared" si="42"/>
        <v>0</v>
      </c>
      <c r="AB13" s="19">
        <f>COUNTIFS('C+8 Data'!$AB:$AB,AA$1,'C+8 Data'!$J:$J,"Unsatisfactory (40%)")</f>
        <v>0</v>
      </c>
      <c r="AC13" s="26" t="str">
        <f t="shared" si="30"/>
        <v/>
      </c>
      <c r="AD13" s="19">
        <f t="shared" si="43"/>
        <v>0</v>
      </c>
      <c r="AE13" s="19">
        <f>COUNTIFS('C+8 Data'!$AB:$AB,AD$1,'C+8 Data'!$J:$J,"Unsatisfactory (40%)")</f>
        <v>0</v>
      </c>
      <c r="AF13" s="26" t="str">
        <f t="shared" si="31"/>
        <v/>
      </c>
      <c r="AG13" s="19">
        <f t="shared" si="44"/>
        <v>0</v>
      </c>
      <c r="AH13" s="19">
        <f>COUNTIFS('C+8 Data'!$AB:$AB,AG$1,'C+8 Data'!$J:$J,"Unsatisfactory (40%)")</f>
        <v>0</v>
      </c>
      <c r="AI13" s="26" t="str">
        <f t="shared" si="32"/>
        <v/>
      </c>
      <c r="AJ13" s="19">
        <f t="shared" si="45"/>
        <v>0</v>
      </c>
      <c r="AK13" s="19">
        <f>COUNTIFS('C+8 Data'!$AB:$AB,AJ$1,'C+8 Data'!$J:$J,"Unsatisfactory (40%)")</f>
        <v>0</v>
      </c>
      <c r="AL13" s="26" t="str">
        <f t="shared" si="33"/>
        <v/>
      </c>
      <c r="AM13" s="19">
        <f t="shared" si="46"/>
        <v>0</v>
      </c>
      <c r="AN13" s="19">
        <f>COUNTIFS('C+8 Data'!$AB:$AB,AM$1,'C+8 Data'!$J:$J,"Unsatisfactory (40%)")</f>
        <v>0</v>
      </c>
      <c r="AO13" s="26" t="str">
        <f t="shared" si="34"/>
        <v/>
      </c>
    </row>
    <row r="14" spans="1:41" x14ac:dyDescent="0.3">
      <c r="A14" s="24"/>
      <c r="B14" s="25" t="s">
        <v>78</v>
      </c>
      <c r="C14" s="19">
        <f>C13</f>
        <v>1</v>
      </c>
      <c r="D14" s="19">
        <f t="shared" si="10"/>
        <v>0</v>
      </c>
      <c r="E14" s="26">
        <f t="shared" si="11"/>
        <v>0</v>
      </c>
      <c r="F14" s="19">
        <f t="shared" si="35"/>
        <v>0</v>
      </c>
      <c r="G14" s="19">
        <f>COUNTIFS('C+8 Data'!$AB:$AB,F$1,'C+8 Data'!$J:$J,"Very Unsatisfactory (20%)")</f>
        <v>0</v>
      </c>
      <c r="H14" s="26" t="str">
        <f t="shared" si="12"/>
        <v/>
      </c>
      <c r="I14" s="19">
        <f t="shared" si="36"/>
        <v>1</v>
      </c>
      <c r="J14" s="19">
        <f>COUNTIFS('C+8 Data'!$AB:$AB,I$1,'C+8 Data'!$J:$J,"Very Unsatisfactory (20%)")</f>
        <v>0</v>
      </c>
      <c r="K14" s="26">
        <f t="shared" si="24"/>
        <v>0</v>
      </c>
      <c r="L14" s="19">
        <f t="shared" si="37"/>
        <v>0</v>
      </c>
      <c r="M14" s="19">
        <f>COUNTIFS('C+8 Data'!$AB:$AB,L$1,'C+8 Data'!$J:$J,"Very Unsatisfactory (20%)")</f>
        <v>0</v>
      </c>
      <c r="N14" s="26" t="str">
        <f t="shared" si="25"/>
        <v/>
      </c>
      <c r="O14" s="19">
        <f t="shared" si="38"/>
        <v>0</v>
      </c>
      <c r="P14" s="19">
        <f>COUNTIFS('C+8 Data'!$AB:$AB,O$1,'C+8 Data'!$J:$J,"Very Unsatisfactory (20%)")</f>
        <v>0</v>
      </c>
      <c r="Q14" s="26" t="str">
        <f t="shared" si="26"/>
        <v/>
      </c>
      <c r="R14" s="19">
        <f t="shared" si="39"/>
        <v>0</v>
      </c>
      <c r="S14" s="19">
        <f>COUNTIFS('C+8 Data'!$AB:$AB,R$1,'C+8 Data'!$J:$J,"Very Unsatisfactory (20%)")</f>
        <v>0</v>
      </c>
      <c r="T14" s="26" t="str">
        <f t="shared" si="27"/>
        <v/>
      </c>
      <c r="U14" s="19">
        <f t="shared" si="40"/>
        <v>0</v>
      </c>
      <c r="V14" s="19">
        <f>COUNTIFS('C+8 Data'!$AB:$AB,U$1,'C+8 Data'!$J:$J,"Very Unsatisfactory (20%)")</f>
        <v>0</v>
      </c>
      <c r="W14" s="26" t="str">
        <f t="shared" si="28"/>
        <v/>
      </c>
      <c r="X14" s="19">
        <f t="shared" si="41"/>
        <v>0</v>
      </c>
      <c r="Y14" s="19">
        <f>COUNTIFS('C+8 Data'!$AB:$AB,X$1,'C+8 Data'!$J:$J,"Very Unsatisfactory (20%)")</f>
        <v>0</v>
      </c>
      <c r="Z14" s="26" t="str">
        <f t="shared" si="29"/>
        <v/>
      </c>
      <c r="AA14" s="19">
        <f t="shared" si="42"/>
        <v>0</v>
      </c>
      <c r="AB14" s="19">
        <f>COUNTIFS('C+8 Data'!$AB:$AB,AA$1,'C+8 Data'!$J:$J,"Very Unsatisfactory (20%)")</f>
        <v>0</v>
      </c>
      <c r="AC14" s="26" t="str">
        <f t="shared" si="30"/>
        <v/>
      </c>
      <c r="AD14" s="19">
        <f t="shared" si="43"/>
        <v>0</v>
      </c>
      <c r="AE14" s="19">
        <f>COUNTIFS('C+8 Data'!$AB:$AB,AD$1,'C+8 Data'!$J:$J,"Very Unsatisfactory (20%)")</f>
        <v>0</v>
      </c>
      <c r="AF14" s="26" t="str">
        <f t="shared" si="31"/>
        <v/>
      </c>
      <c r="AG14" s="19">
        <f t="shared" si="44"/>
        <v>0</v>
      </c>
      <c r="AH14" s="19">
        <f>COUNTIFS('C+8 Data'!$AB:$AB,AG$1,'C+8 Data'!$J:$J,"Very Unsatisfactory (20%)")</f>
        <v>0</v>
      </c>
      <c r="AI14" s="26" t="str">
        <f t="shared" si="32"/>
        <v/>
      </c>
      <c r="AJ14" s="19">
        <f t="shared" si="45"/>
        <v>0</v>
      </c>
      <c r="AK14" s="19">
        <f>COUNTIFS('C+8 Data'!$AB:$AB,AJ$1,'C+8 Data'!$J:$J,"Very Unsatisfactory (20%)")</f>
        <v>0</v>
      </c>
      <c r="AL14" s="26" t="str">
        <f t="shared" si="33"/>
        <v/>
      </c>
      <c r="AM14" s="19">
        <f t="shared" si="46"/>
        <v>0</v>
      </c>
      <c r="AN14" s="19">
        <f>COUNTIFS('C+8 Data'!$AB:$AB,AM$1,'C+8 Data'!$J:$J,"Very Unsatisfactory (20%)")</f>
        <v>0</v>
      </c>
      <c r="AO14" s="26" t="str">
        <f t="shared" si="34"/>
        <v/>
      </c>
    </row>
    <row r="15" spans="1:41" ht="26.4" x14ac:dyDescent="0.3">
      <c r="A15" s="19">
        <v>3</v>
      </c>
      <c r="B15" s="18" t="s">
        <v>8</v>
      </c>
      <c r="C15" s="19"/>
      <c r="D15" s="19"/>
      <c r="E15" s="26"/>
      <c r="F15" s="19"/>
      <c r="G15" s="21"/>
      <c r="H15" s="26"/>
      <c r="I15" s="19"/>
      <c r="J15" s="21"/>
      <c r="K15" s="26"/>
      <c r="L15" s="19"/>
      <c r="M15" s="21"/>
      <c r="N15" s="26"/>
      <c r="O15" s="19"/>
      <c r="P15" s="21"/>
      <c r="Q15" s="26"/>
      <c r="R15" s="19"/>
      <c r="S15" s="21"/>
      <c r="T15" s="26"/>
      <c r="U15" s="19"/>
      <c r="V15" s="21"/>
      <c r="W15" s="26"/>
      <c r="X15" s="19"/>
      <c r="Y15" s="21"/>
      <c r="Z15" s="26"/>
      <c r="AA15" s="19"/>
      <c r="AB15" s="21"/>
      <c r="AC15" s="26"/>
      <c r="AD15" s="19"/>
      <c r="AE15" s="21"/>
      <c r="AF15" s="26"/>
      <c r="AG15" s="19"/>
      <c r="AH15" s="21"/>
      <c r="AI15" s="26"/>
      <c r="AJ15" s="19"/>
      <c r="AK15" s="21"/>
      <c r="AL15" s="26"/>
      <c r="AM15" s="19"/>
      <c r="AN15" s="21"/>
      <c r="AO15" s="26"/>
    </row>
    <row r="16" spans="1:41" x14ac:dyDescent="0.3">
      <c r="A16" s="24"/>
      <c r="B16" s="25" t="s">
        <v>74</v>
      </c>
      <c r="C16" s="19">
        <f>COUNTIF('C+8 Data'!$K:$K,"&lt;&gt;" &amp; "")-1</f>
        <v>1</v>
      </c>
      <c r="D16" s="19">
        <f t="shared" si="10"/>
        <v>1</v>
      </c>
      <c r="E16" s="26">
        <f t="shared" si="11"/>
        <v>1</v>
      </c>
      <c r="F16" s="19">
        <f>COUNTIFS('C+8 Data'!$AB:$AB,F$1,'C+8 Data'!$K:$K,"&lt;&gt;" &amp; "")</f>
        <v>0</v>
      </c>
      <c r="G16" s="19">
        <f>COUNTIFS('C+8 Data'!$AB:$AB,F$1,'C+8 Data'!$K:$K,"Very satisfactory (100%)")</f>
        <v>0</v>
      </c>
      <c r="H16" s="26" t="str">
        <f t="shared" si="12"/>
        <v/>
      </c>
      <c r="I16" s="19">
        <f>COUNTIFS('C+8 Data'!$AB:$AB,I$1,'C+8 Data'!$K:$K,"&lt;&gt;" &amp; "")</f>
        <v>1</v>
      </c>
      <c r="J16" s="19">
        <f>COUNTIFS('C+8 Data'!$AB:$AB,I$1,'C+8 Data'!$K:$K,"Very satisfactory (100%)")</f>
        <v>1</v>
      </c>
      <c r="K16" s="26">
        <f t="shared" ref="K16:K20" si="47">IF(I16 &lt;&gt; 0,J16/I16,"")</f>
        <v>1</v>
      </c>
      <c r="L16" s="19">
        <f>COUNTIFS('C+8 Data'!$AB:$AB,L$1,'C+8 Data'!$K:$K,"&lt;&gt;" &amp; "")</f>
        <v>0</v>
      </c>
      <c r="M16" s="19">
        <f>COUNTIFS('C+8 Data'!$AB:$AB,L$1,'C+8 Data'!$K:$K,"Very satisfactory (100%)")</f>
        <v>0</v>
      </c>
      <c r="N16" s="26" t="str">
        <f t="shared" ref="N16:N20" si="48">IF(L16 &lt;&gt; 0,M16/L16,"")</f>
        <v/>
      </c>
      <c r="O16" s="19">
        <f>COUNTIFS('C+8 Data'!$AB:$AB,O$1,'C+8 Data'!$K:$K,"&lt;&gt;" &amp; "")</f>
        <v>0</v>
      </c>
      <c r="P16" s="19">
        <f>COUNTIFS('C+8 Data'!$AB:$AB,O$1,'C+8 Data'!$K:$K,"Very satisfactory (100%)")</f>
        <v>0</v>
      </c>
      <c r="Q16" s="26" t="str">
        <f t="shared" ref="Q16:Q20" si="49">IF(O16 &lt;&gt; 0,P16/O16,"")</f>
        <v/>
      </c>
      <c r="R16" s="19">
        <f>COUNTIFS('C+8 Data'!$AB:$AB,R$1,'C+8 Data'!$K:$K,"&lt;&gt;" &amp; "")</f>
        <v>0</v>
      </c>
      <c r="S16" s="19">
        <f>COUNTIFS('C+8 Data'!$AB:$AB,R$1,'C+8 Data'!$K:$K,"Very satisfactory (100%)")</f>
        <v>0</v>
      </c>
      <c r="T16" s="26" t="str">
        <f t="shared" ref="T16:T20" si="50">IF(R16 &lt;&gt; 0,S16/R16,"")</f>
        <v/>
      </c>
      <c r="U16" s="19">
        <f>COUNTIFS('C+8 Data'!$AB:$AB,U$1,'C+8 Data'!$K:$K,"&lt;&gt;" &amp; "")</f>
        <v>0</v>
      </c>
      <c r="V16" s="19">
        <f>COUNTIFS('C+8 Data'!$AB:$AB,U$1,'C+8 Data'!$K:$K,"Very satisfactory (100%)")</f>
        <v>0</v>
      </c>
      <c r="W16" s="26" t="str">
        <f t="shared" ref="W16:W20" si="51">IF(U16 &lt;&gt; 0,V16/U16,"")</f>
        <v/>
      </c>
      <c r="X16" s="19">
        <f>COUNTIFS('C+8 Data'!$AB:$AB,X$1,'C+8 Data'!$K:$K,"&lt;&gt;" &amp; "")</f>
        <v>0</v>
      </c>
      <c r="Y16" s="19">
        <f>COUNTIFS('C+8 Data'!$AB:$AB,X$1,'C+8 Data'!$K:$K,"Very satisfactory (100%)")</f>
        <v>0</v>
      </c>
      <c r="Z16" s="26" t="str">
        <f t="shared" ref="Z16:Z20" si="52">IF(X16 &lt;&gt; 0,Y16/X16,"")</f>
        <v/>
      </c>
      <c r="AA16" s="19">
        <f>COUNTIFS('C+8 Data'!$AB:$AB,AA$1,'C+8 Data'!$K:$K,"&lt;&gt;" &amp; "")</f>
        <v>0</v>
      </c>
      <c r="AB16" s="19">
        <f>COUNTIFS('C+8 Data'!$AB:$AB,AA$1,'C+8 Data'!$K:$K,"Very satisfactory (100%)")</f>
        <v>0</v>
      </c>
      <c r="AC16" s="26" t="str">
        <f t="shared" ref="AC16:AC20" si="53">IF(AA16 &lt;&gt; 0,AB16/AA16,"")</f>
        <v/>
      </c>
      <c r="AD16" s="19">
        <f>COUNTIFS('C+8 Data'!$AB:$AB,AD$1,'C+8 Data'!$K:$K,"&lt;&gt;" &amp; "")</f>
        <v>0</v>
      </c>
      <c r="AE16" s="19">
        <f>COUNTIFS('C+8 Data'!$AB:$AB,AD$1,'C+8 Data'!$K:$K,"Very satisfactory (100%)")</f>
        <v>0</v>
      </c>
      <c r="AF16" s="26" t="str">
        <f t="shared" ref="AF16:AF20" si="54">IF(AD16 &lt;&gt; 0,AE16/AD16,"")</f>
        <v/>
      </c>
      <c r="AG16" s="19">
        <f>COUNTIFS('C+8 Data'!$AB:$AB,AG$1,'C+8 Data'!$K:$K,"&lt;&gt;" &amp; "")</f>
        <v>0</v>
      </c>
      <c r="AH16" s="19">
        <f>COUNTIFS('C+8 Data'!$AB:$AB,AG$1,'C+8 Data'!$K:$K,"Very satisfactory (100%)")</f>
        <v>0</v>
      </c>
      <c r="AI16" s="26" t="str">
        <f t="shared" ref="AI16:AI20" si="55">IF(AG16 &lt;&gt; 0,AH16/AG16,"")</f>
        <v/>
      </c>
      <c r="AJ16" s="19">
        <f>COUNTIFS('C+8 Data'!$AB:$AB,AJ$1,'C+8 Data'!$K:$K,"&lt;&gt;" &amp; "")</f>
        <v>0</v>
      </c>
      <c r="AK16" s="19">
        <f>COUNTIFS('C+8 Data'!$AB:$AB,AJ$1,'C+8 Data'!$K:$K,"Very satisfactory (100%)")</f>
        <v>0</v>
      </c>
      <c r="AL16" s="26" t="str">
        <f t="shared" ref="AL16:AL20" si="56">IF(AJ16 &lt;&gt; 0,AK16/AJ16,"")</f>
        <v/>
      </c>
      <c r="AM16" s="19">
        <f>COUNTIFS('C+8 Data'!$AB:$AB,AM$1,'C+8 Data'!$K:$K,"&lt;&gt;" &amp; "")</f>
        <v>0</v>
      </c>
      <c r="AN16" s="19">
        <f>COUNTIFS('C+8 Data'!$AB:$AB,AM$1,'C+8 Data'!$K:$K,"Very satisfactory (100%)")</f>
        <v>0</v>
      </c>
      <c r="AO16" s="26" t="str">
        <f t="shared" ref="AO16:AO20" si="57">IF(AM16 &lt;&gt; 0,AN16/AM16,"")</f>
        <v/>
      </c>
    </row>
    <row r="17" spans="1:41" x14ac:dyDescent="0.3">
      <c r="A17" s="24"/>
      <c r="B17" s="25" t="s">
        <v>75</v>
      </c>
      <c r="C17" s="19">
        <f>C16</f>
        <v>1</v>
      </c>
      <c r="D17" s="19">
        <f t="shared" si="10"/>
        <v>0</v>
      </c>
      <c r="E17" s="26">
        <f t="shared" si="11"/>
        <v>0</v>
      </c>
      <c r="F17" s="19">
        <f>F16</f>
        <v>0</v>
      </c>
      <c r="G17" s="19">
        <f>COUNTIFS('C+8 Data'!$AB:$AB,F$1,'C+8 Data'!$K:$K,"Satisfactory (80%)")</f>
        <v>0</v>
      </c>
      <c r="H17" s="26" t="str">
        <f t="shared" si="12"/>
        <v/>
      </c>
      <c r="I17" s="19">
        <f>I16</f>
        <v>1</v>
      </c>
      <c r="J17" s="19">
        <f>COUNTIFS('C+8 Data'!$AB:$AB,I$1,'C+8 Data'!$K:$K,"Satisfactory (80%)")</f>
        <v>0</v>
      </c>
      <c r="K17" s="26">
        <f t="shared" si="47"/>
        <v>0</v>
      </c>
      <c r="L17" s="19">
        <f>L16</f>
        <v>0</v>
      </c>
      <c r="M17" s="19">
        <f>COUNTIFS('C+8 Data'!$AB:$AB,L$1,'C+8 Data'!$K:$K,"Satisfactory (80%)")</f>
        <v>0</v>
      </c>
      <c r="N17" s="26" t="str">
        <f t="shared" si="48"/>
        <v/>
      </c>
      <c r="O17" s="19">
        <f>O16</f>
        <v>0</v>
      </c>
      <c r="P17" s="19">
        <f>COUNTIFS('C+8 Data'!$AB:$AB,O$1,'C+8 Data'!$K:$K,"Satisfactory (80%)")</f>
        <v>0</v>
      </c>
      <c r="Q17" s="26" t="str">
        <f t="shared" si="49"/>
        <v/>
      </c>
      <c r="R17" s="19">
        <f>R16</f>
        <v>0</v>
      </c>
      <c r="S17" s="19">
        <f>COUNTIFS('C+8 Data'!$AB:$AB,R$1,'C+8 Data'!$K:$K,"Satisfactory (80%)")</f>
        <v>0</v>
      </c>
      <c r="T17" s="26" t="str">
        <f t="shared" si="50"/>
        <v/>
      </c>
      <c r="U17" s="19">
        <f>U16</f>
        <v>0</v>
      </c>
      <c r="V17" s="19">
        <f>COUNTIFS('C+8 Data'!$AB:$AB,U$1,'C+8 Data'!$K:$K,"Satisfactory (80%)")</f>
        <v>0</v>
      </c>
      <c r="W17" s="26" t="str">
        <f t="shared" si="51"/>
        <v/>
      </c>
      <c r="X17" s="19">
        <f>X16</f>
        <v>0</v>
      </c>
      <c r="Y17" s="19">
        <f>COUNTIFS('C+8 Data'!$AB:$AB,X$1,'C+8 Data'!$K:$K,"Satisfactory (80%)")</f>
        <v>0</v>
      </c>
      <c r="Z17" s="26" t="str">
        <f t="shared" si="52"/>
        <v/>
      </c>
      <c r="AA17" s="19">
        <f>AA16</f>
        <v>0</v>
      </c>
      <c r="AB17" s="19">
        <f>COUNTIFS('C+8 Data'!$AB:$AB,AA$1,'C+8 Data'!$K:$K,"Satisfactory (80%)")</f>
        <v>0</v>
      </c>
      <c r="AC17" s="26" t="str">
        <f t="shared" si="53"/>
        <v/>
      </c>
      <c r="AD17" s="19">
        <f>AD16</f>
        <v>0</v>
      </c>
      <c r="AE17" s="19">
        <f>COUNTIFS('C+8 Data'!$AB:$AB,AD$1,'C+8 Data'!$K:$K,"Satisfactory (80%)")</f>
        <v>0</v>
      </c>
      <c r="AF17" s="26" t="str">
        <f t="shared" si="54"/>
        <v/>
      </c>
      <c r="AG17" s="19">
        <f>AG16</f>
        <v>0</v>
      </c>
      <c r="AH17" s="19">
        <f>COUNTIFS('C+8 Data'!$AB:$AB,AG$1,'C+8 Data'!$K:$K,"Satisfactory (80%)")</f>
        <v>0</v>
      </c>
      <c r="AI17" s="26" t="str">
        <f t="shared" si="55"/>
        <v/>
      </c>
      <c r="AJ17" s="19">
        <f>AJ16</f>
        <v>0</v>
      </c>
      <c r="AK17" s="19">
        <f>COUNTIFS('C+8 Data'!$AB:$AB,AJ$1,'C+8 Data'!$K:$K,"Satisfactory (80%)")</f>
        <v>0</v>
      </c>
      <c r="AL17" s="26" t="str">
        <f t="shared" si="56"/>
        <v/>
      </c>
      <c r="AM17" s="19">
        <f>AM16</f>
        <v>0</v>
      </c>
      <c r="AN17" s="19">
        <f>COUNTIFS('C+8 Data'!$AB:$AB,AM$1,'C+8 Data'!$K:$K,"Satisfactory (80%)")</f>
        <v>0</v>
      </c>
      <c r="AO17" s="26" t="str">
        <f t="shared" si="57"/>
        <v/>
      </c>
    </row>
    <row r="18" spans="1:41" x14ac:dyDescent="0.3">
      <c r="A18" s="24"/>
      <c r="B18" s="25" t="s">
        <v>76</v>
      </c>
      <c r="C18" s="19">
        <f t="shared" ref="C18:C20" si="58">C17</f>
        <v>1</v>
      </c>
      <c r="D18" s="19">
        <f t="shared" si="10"/>
        <v>0</v>
      </c>
      <c r="E18" s="26">
        <f t="shared" si="11"/>
        <v>0</v>
      </c>
      <c r="F18" s="19">
        <f t="shared" ref="F18:F20" si="59">F17</f>
        <v>0</v>
      </c>
      <c r="G18" s="19">
        <f>COUNTIFS('C+8 Data'!$AB:$AB,F$1,'C+8 Data'!$K:$K,"Average (60%)")</f>
        <v>0</v>
      </c>
      <c r="H18" s="26" t="str">
        <f t="shared" si="12"/>
        <v/>
      </c>
      <c r="I18" s="19">
        <f t="shared" ref="I18:I20" si="60">I17</f>
        <v>1</v>
      </c>
      <c r="J18" s="19">
        <f>COUNTIFS('C+8 Data'!$AB:$AB,I$1,'C+8 Data'!$K:$K,"Average (60%)")</f>
        <v>0</v>
      </c>
      <c r="K18" s="26">
        <f t="shared" si="47"/>
        <v>0</v>
      </c>
      <c r="L18" s="19">
        <f t="shared" ref="L18:L20" si="61">L17</f>
        <v>0</v>
      </c>
      <c r="M18" s="19">
        <f>COUNTIFS('C+8 Data'!$AB:$AB,L$1,'C+8 Data'!$K:$K,"Average (60%)")</f>
        <v>0</v>
      </c>
      <c r="N18" s="26" t="str">
        <f t="shared" si="48"/>
        <v/>
      </c>
      <c r="O18" s="19">
        <f t="shared" ref="O18:O20" si="62">O17</f>
        <v>0</v>
      </c>
      <c r="P18" s="19">
        <f>COUNTIFS('C+8 Data'!$AB:$AB,O$1,'C+8 Data'!$K:$K,"Average (60%)")</f>
        <v>0</v>
      </c>
      <c r="Q18" s="26" t="str">
        <f t="shared" si="49"/>
        <v/>
      </c>
      <c r="R18" s="19">
        <f t="shared" ref="R18:R20" si="63">R17</f>
        <v>0</v>
      </c>
      <c r="S18" s="19">
        <f>COUNTIFS('C+8 Data'!$AB:$AB,R$1,'C+8 Data'!$K:$K,"Average (60%)")</f>
        <v>0</v>
      </c>
      <c r="T18" s="26" t="str">
        <f t="shared" si="50"/>
        <v/>
      </c>
      <c r="U18" s="19">
        <f t="shared" ref="U18:U20" si="64">U17</f>
        <v>0</v>
      </c>
      <c r="V18" s="19">
        <f>COUNTIFS('C+8 Data'!$AB:$AB,U$1,'C+8 Data'!$K:$K,"Average (60%)")</f>
        <v>0</v>
      </c>
      <c r="W18" s="26" t="str">
        <f t="shared" si="51"/>
        <v/>
      </c>
      <c r="X18" s="19">
        <f t="shared" ref="X18:X20" si="65">X17</f>
        <v>0</v>
      </c>
      <c r="Y18" s="19">
        <f>COUNTIFS('C+8 Data'!$AB:$AB,X$1,'C+8 Data'!$K:$K,"Average (60%)")</f>
        <v>0</v>
      </c>
      <c r="Z18" s="26" t="str">
        <f t="shared" si="52"/>
        <v/>
      </c>
      <c r="AA18" s="19">
        <f t="shared" ref="AA18:AA20" si="66">AA17</f>
        <v>0</v>
      </c>
      <c r="AB18" s="19">
        <f>COUNTIFS('C+8 Data'!$AB:$AB,AA$1,'C+8 Data'!$K:$K,"Average (60%)")</f>
        <v>0</v>
      </c>
      <c r="AC18" s="26" t="str">
        <f t="shared" si="53"/>
        <v/>
      </c>
      <c r="AD18" s="19">
        <f t="shared" ref="AD18:AD20" si="67">AD17</f>
        <v>0</v>
      </c>
      <c r="AE18" s="19">
        <f>COUNTIFS('C+8 Data'!$AB:$AB,AD$1,'C+8 Data'!$K:$K,"Average (60%)")</f>
        <v>0</v>
      </c>
      <c r="AF18" s="26" t="str">
        <f t="shared" si="54"/>
        <v/>
      </c>
      <c r="AG18" s="19">
        <f t="shared" ref="AG18:AG20" si="68">AG17</f>
        <v>0</v>
      </c>
      <c r="AH18" s="19">
        <f>COUNTIFS('C+8 Data'!$AB:$AB,AG$1,'C+8 Data'!$K:$K,"Average (60%)")</f>
        <v>0</v>
      </c>
      <c r="AI18" s="26" t="str">
        <f t="shared" si="55"/>
        <v/>
      </c>
      <c r="AJ18" s="19">
        <f t="shared" ref="AJ18:AJ20" si="69">AJ17</f>
        <v>0</v>
      </c>
      <c r="AK18" s="19">
        <f>COUNTIFS('C+8 Data'!$AB:$AB,AJ$1,'C+8 Data'!$K:$K,"Average (60%)")</f>
        <v>0</v>
      </c>
      <c r="AL18" s="26" t="str">
        <f t="shared" si="56"/>
        <v/>
      </c>
      <c r="AM18" s="19">
        <f t="shared" ref="AM18:AM20" si="70">AM17</f>
        <v>0</v>
      </c>
      <c r="AN18" s="19">
        <f>COUNTIFS('C+8 Data'!$AB:$AB,AM$1,'C+8 Data'!$K:$K,"Average (60%)")</f>
        <v>0</v>
      </c>
      <c r="AO18" s="26" t="str">
        <f t="shared" si="57"/>
        <v/>
      </c>
    </row>
    <row r="19" spans="1:41" x14ac:dyDescent="0.3">
      <c r="A19" s="24"/>
      <c r="B19" s="25" t="s">
        <v>77</v>
      </c>
      <c r="C19" s="19">
        <f t="shared" si="58"/>
        <v>1</v>
      </c>
      <c r="D19" s="19">
        <f t="shared" si="10"/>
        <v>0</v>
      </c>
      <c r="E19" s="26">
        <f t="shared" si="11"/>
        <v>0</v>
      </c>
      <c r="F19" s="19">
        <f t="shared" si="59"/>
        <v>0</v>
      </c>
      <c r="G19" s="19">
        <f>COUNTIFS('C+8 Data'!$AB:$AB,F$1,'C+8 Data'!$K:$K,"Unsatisfactory (40%)")</f>
        <v>0</v>
      </c>
      <c r="H19" s="26" t="str">
        <f t="shared" si="12"/>
        <v/>
      </c>
      <c r="I19" s="19">
        <f t="shared" si="60"/>
        <v>1</v>
      </c>
      <c r="J19" s="19">
        <f>COUNTIFS('C+8 Data'!$AB:$AB,I$1,'C+8 Data'!$K:$K,"Unsatisfactory (40%)")</f>
        <v>0</v>
      </c>
      <c r="K19" s="26">
        <f t="shared" si="47"/>
        <v>0</v>
      </c>
      <c r="L19" s="19">
        <f t="shared" si="61"/>
        <v>0</v>
      </c>
      <c r="M19" s="19">
        <f>COUNTIFS('C+8 Data'!$AB:$AB,L$1,'C+8 Data'!$K:$K,"Unsatisfactory (40%)")</f>
        <v>0</v>
      </c>
      <c r="N19" s="26" t="str">
        <f t="shared" si="48"/>
        <v/>
      </c>
      <c r="O19" s="19">
        <f t="shared" si="62"/>
        <v>0</v>
      </c>
      <c r="P19" s="19">
        <f>COUNTIFS('C+8 Data'!$AB:$AB,O$1,'C+8 Data'!$K:$K,"Unsatisfactory (40%)")</f>
        <v>0</v>
      </c>
      <c r="Q19" s="26" t="str">
        <f t="shared" si="49"/>
        <v/>
      </c>
      <c r="R19" s="19">
        <f t="shared" si="63"/>
        <v>0</v>
      </c>
      <c r="S19" s="19">
        <f>COUNTIFS('C+8 Data'!$AB:$AB,R$1,'C+8 Data'!$K:$K,"Unsatisfactory (40%)")</f>
        <v>0</v>
      </c>
      <c r="T19" s="26" t="str">
        <f t="shared" si="50"/>
        <v/>
      </c>
      <c r="U19" s="19">
        <f t="shared" si="64"/>
        <v>0</v>
      </c>
      <c r="V19" s="19">
        <f>COUNTIFS('C+8 Data'!$AB:$AB,U$1,'C+8 Data'!$K:$K,"Unsatisfactory (40%)")</f>
        <v>0</v>
      </c>
      <c r="W19" s="26" t="str">
        <f t="shared" si="51"/>
        <v/>
      </c>
      <c r="X19" s="19">
        <f t="shared" si="65"/>
        <v>0</v>
      </c>
      <c r="Y19" s="19">
        <f>COUNTIFS('C+8 Data'!$AB:$AB,X$1,'C+8 Data'!$K:$K,"Unsatisfactory (40%)")</f>
        <v>0</v>
      </c>
      <c r="Z19" s="26" t="str">
        <f t="shared" si="52"/>
        <v/>
      </c>
      <c r="AA19" s="19">
        <f t="shared" si="66"/>
        <v>0</v>
      </c>
      <c r="AB19" s="19">
        <f>COUNTIFS('C+8 Data'!$AB:$AB,AA$1,'C+8 Data'!$K:$K,"Unsatisfactory (40%)")</f>
        <v>0</v>
      </c>
      <c r="AC19" s="26" t="str">
        <f t="shared" si="53"/>
        <v/>
      </c>
      <c r="AD19" s="19">
        <f t="shared" si="67"/>
        <v>0</v>
      </c>
      <c r="AE19" s="19">
        <f>COUNTIFS('C+8 Data'!$AB:$AB,AD$1,'C+8 Data'!$K:$K,"Unsatisfactory (40%)")</f>
        <v>0</v>
      </c>
      <c r="AF19" s="26" t="str">
        <f t="shared" si="54"/>
        <v/>
      </c>
      <c r="AG19" s="19">
        <f t="shared" si="68"/>
        <v>0</v>
      </c>
      <c r="AH19" s="19">
        <f>COUNTIFS('C+8 Data'!$AB:$AB,AG$1,'C+8 Data'!$K:$K,"Unsatisfactory (40%)")</f>
        <v>0</v>
      </c>
      <c r="AI19" s="26" t="str">
        <f t="shared" si="55"/>
        <v/>
      </c>
      <c r="AJ19" s="19">
        <f t="shared" si="69"/>
        <v>0</v>
      </c>
      <c r="AK19" s="19">
        <f>COUNTIFS('C+8 Data'!$AB:$AB,AJ$1,'C+8 Data'!$K:$K,"Unsatisfactory (40%)")</f>
        <v>0</v>
      </c>
      <c r="AL19" s="26" t="str">
        <f t="shared" si="56"/>
        <v/>
      </c>
      <c r="AM19" s="19">
        <f t="shared" si="70"/>
        <v>0</v>
      </c>
      <c r="AN19" s="19">
        <f>COUNTIFS('C+8 Data'!$AB:$AB,AM$1,'C+8 Data'!$K:$K,"Unsatisfactory (40%)")</f>
        <v>0</v>
      </c>
      <c r="AO19" s="26" t="str">
        <f t="shared" si="57"/>
        <v/>
      </c>
    </row>
    <row r="20" spans="1:41" x14ac:dyDescent="0.3">
      <c r="A20" s="24"/>
      <c r="B20" s="25" t="s">
        <v>78</v>
      </c>
      <c r="C20" s="19">
        <f t="shared" si="58"/>
        <v>1</v>
      </c>
      <c r="D20" s="19">
        <f t="shared" si="10"/>
        <v>0</v>
      </c>
      <c r="E20" s="26">
        <f t="shared" si="11"/>
        <v>0</v>
      </c>
      <c r="F20" s="19">
        <f t="shared" si="59"/>
        <v>0</v>
      </c>
      <c r="G20" s="19">
        <f>COUNTIFS('C+8 Data'!$AB:$AB,F$1,'C+8 Data'!$K:$K,"Very Unsatisfactory (20%)")</f>
        <v>0</v>
      </c>
      <c r="H20" s="26" t="str">
        <f t="shared" si="12"/>
        <v/>
      </c>
      <c r="I20" s="19">
        <f t="shared" si="60"/>
        <v>1</v>
      </c>
      <c r="J20" s="19">
        <f>COUNTIFS('C+8 Data'!$AB:$AB,I$1,'C+8 Data'!$K:$K,"Very Unsatisfactory (20%)")</f>
        <v>0</v>
      </c>
      <c r="K20" s="26">
        <f t="shared" si="47"/>
        <v>0</v>
      </c>
      <c r="L20" s="19">
        <f t="shared" si="61"/>
        <v>0</v>
      </c>
      <c r="M20" s="19">
        <f>COUNTIFS('C+8 Data'!$AB:$AB,L$1,'C+8 Data'!$K:$K,"Very Unsatisfactory (20%)")</f>
        <v>0</v>
      </c>
      <c r="N20" s="26" t="str">
        <f t="shared" si="48"/>
        <v/>
      </c>
      <c r="O20" s="19">
        <f t="shared" si="62"/>
        <v>0</v>
      </c>
      <c r="P20" s="19">
        <f>COUNTIFS('C+8 Data'!$AB:$AB,O$1,'C+8 Data'!$K:$K,"Very Unsatisfactory (20%)")</f>
        <v>0</v>
      </c>
      <c r="Q20" s="26" t="str">
        <f t="shared" si="49"/>
        <v/>
      </c>
      <c r="R20" s="19">
        <f t="shared" si="63"/>
        <v>0</v>
      </c>
      <c r="S20" s="19">
        <f>COUNTIFS('C+8 Data'!$AB:$AB,R$1,'C+8 Data'!$K:$K,"Very Unsatisfactory (20%)")</f>
        <v>0</v>
      </c>
      <c r="T20" s="26" t="str">
        <f t="shared" si="50"/>
        <v/>
      </c>
      <c r="U20" s="19">
        <f t="shared" si="64"/>
        <v>0</v>
      </c>
      <c r="V20" s="19">
        <f>COUNTIFS('C+8 Data'!$AB:$AB,U$1,'C+8 Data'!$K:$K,"Very Unsatisfactory (20%)")</f>
        <v>0</v>
      </c>
      <c r="W20" s="26" t="str">
        <f t="shared" si="51"/>
        <v/>
      </c>
      <c r="X20" s="19">
        <f t="shared" si="65"/>
        <v>0</v>
      </c>
      <c r="Y20" s="19">
        <f>COUNTIFS('C+8 Data'!$AB:$AB,X$1,'C+8 Data'!$K:$K,"Very Unsatisfactory (20%)")</f>
        <v>0</v>
      </c>
      <c r="Z20" s="26" t="str">
        <f t="shared" si="52"/>
        <v/>
      </c>
      <c r="AA20" s="19">
        <f t="shared" si="66"/>
        <v>0</v>
      </c>
      <c r="AB20" s="19">
        <f>COUNTIFS('C+8 Data'!$AB:$AB,AA$1,'C+8 Data'!$K:$K,"Very Unsatisfactory (20%)")</f>
        <v>0</v>
      </c>
      <c r="AC20" s="26" t="str">
        <f t="shared" si="53"/>
        <v/>
      </c>
      <c r="AD20" s="19">
        <f t="shared" si="67"/>
        <v>0</v>
      </c>
      <c r="AE20" s="19">
        <f>COUNTIFS('C+8 Data'!$AB:$AB,AD$1,'C+8 Data'!$K:$K,"Very Unsatisfactory (20%)")</f>
        <v>0</v>
      </c>
      <c r="AF20" s="26" t="str">
        <f t="shared" si="54"/>
        <v/>
      </c>
      <c r="AG20" s="19">
        <f t="shared" si="68"/>
        <v>0</v>
      </c>
      <c r="AH20" s="19">
        <f>COUNTIFS('C+8 Data'!$AB:$AB,AG$1,'C+8 Data'!$K:$K,"Very Unsatisfactory (20%)")</f>
        <v>0</v>
      </c>
      <c r="AI20" s="26" t="str">
        <f t="shared" si="55"/>
        <v/>
      </c>
      <c r="AJ20" s="19">
        <f t="shared" si="69"/>
        <v>0</v>
      </c>
      <c r="AK20" s="19">
        <f>COUNTIFS('C+8 Data'!$AB:$AB,AJ$1,'C+8 Data'!$K:$K,"Very Unsatisfactory (20%)")</f>
        <v>0</v>
      </c>
      <c r="AL20" s="26" t="str">
        <f t="shared" si="56"/>
        <v/>
      </c>
      <c r="AM20" s="19">
        <f t="shared" si="70"/>
        <v>0</v>
      </c>
      <c r="AN20" s="19">
        <f>COUNTIFS('C+8 Data'!$AB:$AB,AM$1,'C+8 Data'!$K:$K,"Very Unsatisfactory (20%)")</f>
        <v>0</v>
      </c>
      <c r="AO20" s="26" t="str">
        <f t="shared" si="57"/>
        <v/>
      </c>
    </row>
    <row r="21" spans="1:41" ht="15" customHeight="1" x14ac:dyDescent="0.3">
      <c r="A21" s="19">
        <v>4</v>
      </c>
      <c r="B21" s="3" t="s">
        <v>9</v>
      </c>
      <c r="C21" s="21"/>
      <c r="D21" s="19"/>
      <c r="E21" s="26"/>
      <c r="F21" s="21"/>
      <c r="G21" s="21"/>
      <c r="H21" s="26"/>
      <c r="I21" s="21"/>
      <c r="J21" s="21"/>
      <c r="K21" s="26"/>
      <c r="L21" s="21"/>
      <c r="M21" s="21"/>
      <c r="N21" s="26"/>
      <c r="O21" s="21"/>
      <c r="P21" s="21"/>
      <c r="Q21" s="26"/>
      <c r="R21" s="21"/>
      <c r="S21" s="21"/>
      <c r="T21" s="26"/>
      <c r="U21" s="21"/>
      <c r="V21" s="21"/>
      <c r="W21" s="26"/>
      <c r="X21" s="21"/>
      <c r="Y21" s="21"/>
      <c r="Z21" s="26"/>
      <c r="AA21" s="21"/>
      <c r="AB21" s="21"/>
      <c r="AC21" s="26"/>
      <c r="AD21" s="21"/>
      <c r="AE21" s="21"/>
      <c r="AF21" s="26"/>
      <c r="AG21" s="21"/>
      <c r="AH21" s="21"/>
      <c r="AI21" s="26"/>
      <c r="AJ21" s="21"/>
      <c r="AK21" s="21"/>
      <c r="AL21" s="26"/>
      <c r="AM21" s="21"/>
      <c r="AN21" s="21"/>
      <c r="AO21" s="26"/>
    </row>
    <row r="22" spans="1:41" x14ac:dyDescent="0.3">
      <c r="A22" s="24"/>
      <c r="B22" s="25" t="s">
        <v>74</v>
      </c>
      <c r="C22" s="19">
        <f>COUNTIF('C+8 Data'!$L:$L,"&lt;&gt;" &amp; "")-1</f>
        <v>1</v>
      </c>
      <c r="D22" s="19">
        <f t="shared" si="10"/>
        <v>1</v>
      </c>
      <c r="E22" s="26">
        <f t="shared" si="11"/>
        <v>1</v>
      </c>
      <c r="F22" s="19">
        <f>COUNTIFS('C+8 Data'!$AB:$AB,F$1,'C+8 Data'!$L:$L,"&lt;&gt;" &amp; "")</f>
        <v>0</v>
      </c>
      <c r="G22" s="19">
        <f>COUNTIFS('C+8 Data'!$AB:$AB,F$1,'C+8 Data'!$L:$L,"Very satisfactory (100%)")</f>
        <v>0</v>
      </c>
      <c r="H22" s="26" t="str">
        <f t="shared" si="12"/>
        <v/>
      </c>
      <c r="I22" s="19">
        <f>COUNTIFS('C+8 Data'!$AB:$AB,I$1,'C+8 Data'!$L:$L,"&lt;&gt;" &amp; "")</f>
        <v>1</v>
      </c>
      <c r="J22" s="19">
        <f>COUNTIFS('C+8 Data'!$AB:$AB,I$1,'C+8 Data'!$L:$L,"Very satisfactory (100%)")</f>
        <v>1</v>
      </c>
      <c r="K22" s="26">
        <f t="shared" ref="K22:K26" si="71">IF(I22 &lt;&gt; 0,J22/I22,"")</f>
        <v>1</v>
      </c>
      <c r="L22" s="19">
        <f>COUNTIFS('C+8 Data'!$AB:$AB,L$1,'C+8 Data'!$L:$L,"&lt;&gt;" &amp; "")</f>
        <v>0</v>
      </c>
      <c r="M22" s="19">
        <f>COUNTIFS('C+8 Data'!$AB:$AB,L$1,'C+8 Data'!$L:$L,"Very satisfactory (100%)")</f>
        <v>0</v>
      </c>
      <c r="N22" s="26" t="str">
        <f t="shared" ref="N22:N26" si="72">IF(L22 &lt;&gt; 0,M22/L22,"")</f>
        <v/>
      </c>
      <c r="O22" s="19">
        <f>COUNTIFS('C+8 Data'!$AB:$AB,O$1,'C+8 Data'!$L:$L,"&lt;&gt;" &amp; "")</f>
        <v>0</v>
      </c>
      <c r="P22" s="19">
        <f>COUNTIFS('C+8 Data'!$AB:$AB,O$1,'C+8 Data'!$L:$L,"Very satisfactory (100%)")</f>
        <v>0</v>
      </c>
      <c r="Q22" s="26" t="str">
        <f t="shared" ref="Q22:Q26" si="73">IF(O22 &lt;&gt; 0,P22/O22,"")</f>
        <v/>
      </c>
      <c r="R22" s="19">
        <f>COUNTIFS('C+8 Data'!$AB:$AB,R$1,'C+8 Data'!$L:$L,"&lt;&gt;" &amp; "")</f>
        <v>0</v>
      </c>
      <c r="S22" s="19">
        <f>COUNTIFS('C+8 Data'!$AB:$AB,R$1,'C+8 Data'!$L:$L,"Very satisfactory (100%)")</f>
        <v>0</v>
      </c>
      <c r="T22" s="26" t="str">
        <f t="shared" ref="T22:T26" si="74">IF(R22 &lt;&gt; 0,S22/R22,"")</f>
        <v/>
      </c>
      <c r="U22" s="19">
        <f>COUNTIFS('C+8 Data'!$AB:$AB,U$1,'C+8 Data'!$L:$L,"&lt;&gt;" &amp; "")</f>
        <v>0</v>
      </c>
      <c r="V22" s="19">
        <f>COUNTIFS('C+8 Data'!$AB:$AB,U$1,'C+8 Data'!$L:$L,"Very satisfactory (100%)")</f>
        <v>0</v>
      </c>
      <c r="W22" s="26" t="str">
        <f t="shared" ref="W22:W26" si="75">IF(U22 &lt;&gt; 0,V22/U22,"")</f>
        <v/>
      </c>
      <c r="X22" s="19">
        <f>COUNTIFS('C+8 Data'!$AB:$AB,X$1,'C+8 Data'!$L:$L,"&lt;&gt;" &amp; "")</f>
        <v>0</v>
      </c>
      <c r="Y22" s="19">
        <f>COUNTIFS('C+8 Data'!$AB:$AB,X$1,'C+8 Data'!$L:$L,"Very satisfactory (100%)")</f>
        <v>0</v>
      </c>
      <c r="Z22" s="26" t="str">
        <f t="shared" ref="Z22:Z26" si="76">IF(X22 &lt;&gt; 0,Y22/X22,"")</f>
        <v/>
      </c>
      <c r="AA22" s="19">
        <f>COUNTIFS('C+8 Data'!$AB:$AB,AA$1,'C+8 Data'!$L:$L,"&lt;&gt;" &amp; "")</f>
        <v>0</v>
      </c>
      <c r="AB22" s="19">
        <f>COUNTIFS('C+8 Data'!$AB:$AB,AA$1,'C+8 Data'!$L:$L,"Very satisfactory (100%)")</f>
        <v>0</v>
      </c>
      <c r="AC22" s="26" t="str">
        <f t="shared" ref="AC22:AC26" si="77">IF(AA22 &lt;&gt; 0,AB22/AA22,"")</f>
        <v/>
      </c>
      <c r="AD22" s="19">
        <f>COUNTIFS('C+8 Data'!$AB:$AB,AD$1,'C+8 Data'!$L:$L,"&lt;&gt;" &amp; "")</f>
        <v>0</v>
      </c>
      <c r="AE22" s="19">
        <f>COUNTIFS('C+8 Data'!$AB:$AB,AD$1,'C+8 Data'!$L:$L,"Very satisfactory (100%)")</f>
        <v>0</v>
      </c>
      <c r="AF22" s="26" t="str">
        <f t="shared" ref="AF22:AF26" si="78">IF(AD22 &lt;&gt; 0,AE22/AD22,"")</f>
        <v/>
      </c>
      <c r="AG22" s="19">
        <f>COUNTIFS('C+8 Data'!$AB:$AB,AG$1,'C+8 Data'!$L:$L,"&lt;&gt;" &amp; "")</f>
        <v>0</v>
      </c>
      <c r="AH22" s="19">
        <f>COUNTIFS('C+8 Data'!$AB:$AB,AG$1,'C+8 Data'!$L:$L,"Very satisfactory (100%)")</f>
        <v>0</v>
      </c>
      <c r="AI22" s="26" t="str">
        <f t="shared" ref="AI22:AI26" si="79">IF(AG22 &lt;&gt; 0,AH22/AG22,"")</f>
        <v/>
      </c>
      <c r="AJ22" s="19">
        <f>COUNTIFS('C+8 Data'!$AB:$AB,AJ$1,'C+8 Data'!$L:$L,"&lt;&gt;" &amp; "")</f>
        <v>0</v>
      </c>
      <c r="AK22" s="19">
        <f>COUNTIFS('C+8 Data'!$AB:$AB,AJ$1,'C+8 Data'!$L:$L,"Very satisfactory (100%)")</f>
        <v>0</v>
      </c>
      <c r="AL22" s="26" t="str">
        <f t="shared" ref="AL22:AL26" si="80">IF(AJ22 &lt;&gt; 0,AK22/AJ22,"")</f>
        <v/>
      </c>
      <c r="AM22" s="19">
        <f>COUNTIFS('C+8 Data'!$AB:$AB,AM$1,'C+8 Data'!$L:$L,"&lt;&gt;" &amp; "")</f>
        <v>0</v>
      </c>
      <c r="AN22" s="19">
        <f>COUNTIFS('C+8 Data'!$AB:$AB,AM$1,'C+8 Data'!$L:$L,"Very satisfactory (100%)")</f>
        <v>0</v>
      </c>
      <c r="AO22" s="26" t="str">
        <f t="shared" ref="AO22:AO26" si="81">IF(AM22 &lt;&gt; 0,AN22/AM22,"")</f>
        <v/>
      </c>
    </row>
    <row r="23" spans="1:41" x14ac:dyDescent="0.3">
      <c r="A23" s="24"/>
      <c r="B23" s="25" t="s">
        <v>75</v>
      </c>
      <c r="C23" s="19">
        <f>C22</f>
        <v>1</v>
      </c>
      <c r="D23" s="19">
        <f t="shared" si="10"/>
        <v>0</v>
      </c>
      <c r="E23" s="26">
        <f t="shared" si="11"/>
        <v>0</v>
      </c>
      <c r="F23" s="19">
        <f>F22</f>
        <v>0</v>
      </c>
      <c r="G23" s="19">
        <f>COUNTIFS('C+8 Data'!$AB:$AB,F$1,'C+8 Data'!$L:$L,"Satisfactory (80%)")</f>
        <v>0</v>
      </c>
      <c r="H23" s="26" t="str">
        <f t="shared" si="12"/>
        <v/>
      </c>
      <c r="I23" s="19">
        <f>I22</f>
        <v>1</v>
      </c>
      <c r="J23" s="19">
        <f>COUNTIFS('C+8 Data'!$AB:$AB,I$1,'C+8 Data'!$L:$L,"Satisfactory (80%)")</f>
        <v>0</v>
      </c>
      <c r="K23" s="26">
        <f t="shared" si="71"/>
        <v>0</v>
      </c>
      <c r="L23" s="19">
        <f>L22</f>
        <v>0</v>
      </c>
      <c r="M23" s="19">
        <f>COUNTIFS('C+8 Data'!$AB:$AB,L$1,'C+8 Data'!$L:$L,"Satisfactory (80%)")</f>
        <v>0</v>
      </c>
      <c r="N23" s="26" t="str">
        <f t="shared" si="72"/>
        <v/>
      </c>
      <c r="O23" s="19">
        <f>O22</f>
        <v>0</v>
      </c>
      <c r="P23" s="19">
        <f>COUNTIFS('C+8 Data'!$AB:$AB,O$1,'C+8 Data'!$L:$L,"Satisfactory (80%)")</f>
        <v>0</v>
      </c>
      <c r="Q23" s="26" t="str">
        <f t="shared" si="73"/>
        <v/>
      </c>
      <c r="R23" s="19">
        <f>R22</f>
        <v>0</v>
      </c>
      <c r="S23" s="19">
        <f>COUNTIFS('C+8 Data'!$AB:$AB,R$1,'C+8 Data'!$L:$L,"Satisfactory (80%)")</f>
        <v>0</v>
      </c>
      <c r="T23" s="26" t="str">
        <f t="shared" si="74"/>
        <v/>
      </c>
      <c r="U23" s="19">
        <f>U22</f>
        <v>0</v>
      </c>
      <c r="V23" s="19">
        <f>COUNTIFS('C+8 Data'!$AB:$AB,U$1,'C+8 Data'!$L:$L,"Satisfactory (80%)")</f>
        <v>0</v>
      </c>
      <c r="W23" s="26" t="str">
        <f t="shared" si="75"/>
        <v/>
      </c>
      <c r="X23" s="19">
        <f>X22</f>
        <v>0</v>
      </c>
      <c r="Y23" s="19">
        <f>COUNTIFS('C+8 Data'!$AB:$AB,X$1,'C+8 Data'!$L:$L,"Satisfactory (80%)")</f>
        <v>0</v>
      </c>
      <c r="Z23" s="26" t="str">
        <f t="shared" si="76"/>
        <v/>
      </c>
      <c r="AA23" s="19">
        <f>AA22</f>
        <v>0</v>
      </c>
      <c r="AB23" s="19">
        <f>COUNTIFS('C+8 Data'!$AB:$AB,AA$1,'C+8 Data'!$L:$L,"Satisfactory (80%)")</f>
        <v>0</v>
      </c>
      <c r="AC23" s="26" t="str">
        <f t="shared" si="77"/>
        <v/>
      </c>
      <c r="AD23" s="19">
        <f>AD22</f>
        <v>0</v>
      </c>
      <c r="AE23" s="19">
        <f>COUNTIFS('C+8 Data'!$AB:$AB,AD$1,'C+8 Data'!$L:$L,"Satisfactory (80%)")</f>
        <v>0</v>
      </c>
      <c r="AF23" s="26" t="str">
        <f t="shared" si="78"/>
        <v/>
      </c>
      <c r="AG23" s="19">
        <f>AG22</f>
        <v>0</v>
      </c>
      <c r="AH23" s="19">
        <f>COUNTIFS('C+8 Data'!$AB:$AB,AG$1,'C+8 Data'!$L:$L,"Satisfactory (80%)")</f>
        <v>0</v>
      </c>
      <c r="AI23" s="26" t="str">
        <f t="shared" si="79"/>
        <v/>
      </c>
      <c r="AJ23" s="19">
        <f>AJ22</f>
        <v>0</v>
      </c>
      <c r="AK23" s="19">
        <f>COUNTIFS('C+8 Data'!$AB:$AB,AJ$1,'C+8 Data'!$L:$L,"Satisfactory (80%)")</f>
        <v>0</v>
      </c>
      <c r="AL23" s="26" t="str">
        <f t="shared" si="80"/>
        <v/>
      </c>
      <c r="AM23" s="19">
        <f>AM22</f>
        <v>0</v>
      </c>
      <c r="AN23" s="19">
        <f>COUNTIFS('C+8 Data'!$AB:$AB,AM$1,'C+8 Data'!$L:$L,"Satisfactory (80%)")</f>
        <v>0</v>
      </c>
      <c r="AO23" s="26" t="str">
        <f t="shared" si="81"/>
        <v/>
      </c>
    </row>
    <row r="24" spans="1:41" x14ac:dyDescent="0.3">
      <c r="A24" s="24"/>
      <c r="B24" s="25" t="s">
        <v>76</v>
      </c>
      <c r="C24" s="19">
        <f t="shared" ref="C24:C26" si="82">C23</f>
        <v>1</v>
      </c>
      <c r="D24" s="19">
        <f t="shared" si="10"/>
        <v>0</v>
      </c>
      <c r="E24" s="26">
        <f t="shared" si="11"/>
        <v>0</v>
      </c>
      <c r="F24" s="19">
        <f t="shared" ref="F24:F26" si="83">F23</f>
        <v>0</v>
      </c>
      <c r="G24" s="19">
        <f>COUNTIFS('C+8 Data'!$AB:$AB,F$1,'C+8 Data'!$L:$L,"Average (60%)")</f>
        <v>0</v>
      </c>
      <c r="H24" s="26" t="str">
        <f t="shared" si="12"/>
        <v/>
      </c>
      <c r="I24" s="19">
        <f t="shared" ref="I24:I26" si="84">I23</f>
        <v>1</v>
      </c>
      <c r="J24" s="19">
        <f>COUNTIFS('C+8 Data'!$AB:$AB,I$1,'C+8 Data'!$L:$L,"Average (60%)")</f>
        <v>0</v>
      </c>
      <c r="K24" s="26">
        <f t="shared" si="71"/>
        <v>0</v>
      </c>
      <c r="L24" s="19">
        <f t="shared" ref="L24:L26" si="85">L23</f>
        <v>0</v>
      </c>
      <c r="M24" s="19">
        <f>COUNTIFS('C+8 Data'!$AB:$AB,L$1,'C+8 Data'!$L:$L,"Average (60%)")</f>
        <v>0</v>
      </c>
      <c r="N24" s="26" t="str">
        <f t="shared" si="72"/>
        <v/>
      </c>
      <c r="O24" s="19">
        <f t="shared" ref="O24:O26" si="86">O23</f>
        <v>0</v>
      </c>
      <c r="P24" s="19">
        <f>COUNTIFS('C+8 Data'!$AB:$AB,O$1,'C+8 Data'!$L:$L,"Average (60%)")</f>
        <v>0</v>
      </c>
      <c r="Q24" s="26" t="str">
        <f t="shared" si="73"/>
        <v/>
      </c>
      <c r="R24" s="19">
        <f t="shared" ref="R24:R26" si="87">R23</f>
        <v>0</v>
      </c>
      <c r="S24" s="19">
        <f>COUNTIFS('C+8 Data'!$AB:$AB,R$1,'C+8 Data'!$L:$L,"Average (60%)")</f>
        <v>0</v>
      </c>
      <c r="T24" s="26" t="str">
        <f t="shared" si="74"/>
        <v/>
      </c>
      <c r="U24" s="19">
        <f t="shared" ref="U24:U26" si="88">U23</f>
        <v>0</v>
      </c>
      <c r="V24" s="19">
        <f>COUNTIFS('C+8 Data'!$AB:$AB,U$1,'C+8 Data'!$L:$L,"Average (60%)")</f>
        <v>0</v>
      </c>
      <c r="W24" s="26" t="str">
        <f t="shared" si="75"/>
        <v/>
      </c>
      <c r="X24" s="19">
        <f t="shared" ref="X24:X26" si="89">X23</f>
        <v>0</v>
      </c>
      <c r="Y24" s="19">
        <f>COUNTIFS('C+8 Data'!$AB:$AB,X$1,'C+8 Data'!$L:$L,"Average (60%)")</f>
        <v>0</v>
      </c>
      <c r="Z24" s="26" t="str">
        <f t="shared" si="76"/>
        <v/>
      </c>
      <c r="AA24" s="19">
        <f t="shared" ref="AA24:AA26" si="90">AA23</f>
        <v>0</v>
      </c>
      <c r="AB24" s="19">
        <f>COUNTIFS('C+8 Data'!$AB:$AB,AA$1,'C+8 Data'!$L:$L,"Average (60%)")</f>
        <v>0</v>
      </c>
      <c r="AC24" s="26" t="str">
        <f t="shared" si="77"/>
        <v/>
      </c>
      <c r="AD24" s="19">
        <f t="shared" ref="AD24:AD26" si="91">AD23</f>
        <v>0</v>
      </c>
      <c r="AE24" s="19">
        <f>COUNTIFS('C+8 Data'!$AB:$AB,AD$1,'C+8 Data'!$L:$L,"Average (60%)")</f>
        <v>0</v>
      </c>
      <c r="AF24" s="26" t="str">
        <f t="shared" si="78"/>
        <v/>
      </c>
      <c r="AG24" s="19">
        <f t="shared" ref="AG24:AG26" si="92">AG23</f>
        <v>0</v>
      </c>
      <c r="AH24" s="19">
        <f>COUNTIFS('C+8 Data'!$AB:$AB,AG$1,'C+8 Data'!$L:$L,"Average (60%)")</f>
        <v>0</v>
      </c>
      <c r="AI24" s="26" t="str">
        <f t="shared" si="79"/>
        <v/>
      </c>
      <c r="AJ24" s="19">
        <f t="shared" ref="AJ24:AJ26" si="93">AJ23</f>
        <v>0</v>
      </c>
      <c r="AK24" s="19">
        <f>COUNTIFS('C+8 Data'!$AB:$AB,AJ$1,'C+8 Data'!$L:$L,"Average (60%)")</f>
        <v>0</v>
      </c>
      <c r="AL24" s="26" t="str">
        <f t="shared" si="80"/>
        <v/>
      </c>
      <c r="AM24" s="19">
        <f t="shared" ref="AM24:AM26" si="94">AM23</f>
        <v>0</v>
      </c>
      <c r="AN24" s="19">
        <f>COUNTIFS('C+8 Data'!$AB:$AB,AM$1,'C+8 Data'!$L:$L,"Average (60%)")</f>
        <v>0</v>
      </c>
      <c r="AO24" s="26" t="str">
        <f t="shared" si="81"/>
        <v/>
      </c>
    </row>
    <row r="25" spans="1:41" x14ac:dyDescent="0.3">
      <c r="A25" s="24"/>
      <c r="B25" s="25" t="s">
        <v>77</v>
      </c>
      <c r="C25" s="19">
        <f t="shared" si="82"/>
        <v>1</v>
      </c>
      <c r="D25" s="19">
        <f t="shared" si="10"/>
        <v>0</v>
      </c>
      <c r="E25" s="26">
        <f t="shared" si="11"/>
        <v>0</v>
      </c>
      <c r="F25" s="19">
        <f t="shared" si="83"/>
        <v>0</v>
      </c>
      <c r="G25" s="19">
        <f>COUNTIFS('C+8 Data'!$AB:$AB,F$1,'C+8 Data'!$L:$L,"Unsatisfactory (40%)")</f>
        <v>0</v>
      </c>
      <c r="H25" s="26" t="str">
        <f t="shared" si="12"/>
        <v/>
      </c>
      <c r="I25" s="19">
        <f t="shared" si="84"/>
        <v>1</v>
      </c>
      <c r="J25" s="19">
        <f>COUNTIFS('C+8 Data'!$AB:$AB,I$1,'C+8 Data'!$L:$L,"Unsatisfactory (40%)")</f>
        <v>0</v>
      </c>
      <c r="K25" s="26">
        <f t="shared" si="71"/>
        <v>0</v>
      </c>
      <c r="L25" s="19">
        <f t="shared" si="85"/>
        <v>0</v>
      </c>
      <c r="M25" s="19">
        <f>COUNTIFS('C+8 Data'!$AB:$AB,L$1,'C+8 Data'!$L:$L,"Unsatisfactory (40%)")</f>
        <v>0</v>
      </c>
      <c r="N25" s="26" t="str">
        <f t="shared" si="72"/>
        <v/>
      </c>
      <c r="O25" s="19">
        <f t="shared" si="86"/>
        <v>0</v>
      </c>
      <c r="P25" s="19">
        <f>COUNTIFS('C+8 Data'!$AB:$AB,O$1,'C+8 Data'!$L:$L,"Unsatisfactory (40%)")</f>
        <v>0</v>
      </c>
      <c r="Q25" s="26" t="str">
        <f t="shared" si="73"/>
        <v/>
      </c>
      <c r="R25" s="19">
        <f t="shared" si="87"/>
        <v>0</v>
      </c>
      <c r="S25" s="19">
        <f>COUNTIFS('C+8 Data'!$AB:$AB,R$1,'C+8 Data'!$L:$L,"Unsatisfactory (40%)")</f>
        <v>0</v>
      </c>
      <c r="T25" s="26" t="str">
        <f t="shared" si="74"/>
        <v/>
      </c>
      <c r="U25" s="19">
        <f t="shared" si="88"/>
        <v>0</v>
      </c>
      <c r="V25" s="19">
        <f>COUNTIFS('C+8 Data'!$AB:$AB,U$1,'C+8 Data'!$L:$L,"Unsatisfactory (40%)")</f>
        <v>0</v>
      </c>
      <c r="W25" s="26" t="str">
        <f t="shared" si="75"/>
        <v/>
      </c>
      <c r="X25" s="19">
        <f t="shared" si="89"/>
        <v>0</v>
      </c>
      <c r="Y25" s="19">
        <f>COUNTIFS('C+8 Data'!$AB:$AB,X$1,'C+8 Data'!$L:$L,"Unsatisfactory (40%)")</f>
        <v>0</v>
      </c>
      <c r="Z25" s="26" t="str">
        <f t="shared" si="76"/>
        <v/>
      </c>
      <c r="AA25" s="19">
        <f t="shared" si="90"/>
        <v>0</v>
      </c>
      <c r="AB25" s="19">
        <f>COUNTIFS('C+8 Data'!$AB:$AB,AA$1,'C+8 Data'!$L:$L,"Unsatisfactory (40%)")</f>
        <v>0</v>
      </c>
      <c r="AC25" s="26" t="str">
        <f t="shared" si="77"/>
        <v/>
      </c>
      <c r="AD25" s="19">
        <f t="shared" si="91"/>
        <v>0</v>
      </c>
      <c r="AE25" s="19">
        <f>COUNTIFS('C+8 Data'!$AB:$AB,AD$1,'C+8 Data'!$L:$L,"Unsatisfactory (40%)")</f>
        <v>0</v>
      </c>
      <c r="AF25" s="26" t="str">
        <f t="shared" si="78"/>
        <v/>
      </c>
      <c r="AG25" s="19">
        <f t="shared" si="92"/>
        <v>0</v>
      </c>
      <c r="AH25" s="19">
        <f>COUNTIFS('C+8 Data'!$AB:$AB,AG$1,'C+8 Data'!$L:$L,"Unsatisfactory (40%)")</f>
        <v>0</v>
      </c>
      <c r="AI25" s="26" t="str">
        <f t="shared" si="79"/>
        <v/>
      </c>
      <c r="AJ25" s="19">
        <f t="shared" si="93"/>
        <v>0</v>
      </c>
      <c r="AK25" s="19">
        <f>COUNTIFS('C+8 Data'!$AB:$AB,AJ$1,'C+8 Data'!$L:$L,"Unsatisfactory (40%)")</f>
        <v>0</v>
      </c>
      <c r="AL25" s="26" t="str">
        <f t="shared" si="80"/>
        <v/>
      </c>
      <c r="AM25" s="19">
        <f t="shared" si="94"/>
        <v>0</v>
      </c>
      <c r="AN25" s="19">
        <f>COUNTIFS('C+8 Data'!$AB:$AB,AM$1,'C+8 Data'!$L:$L,"Unsatisfactory (40%)")</f>
        <v>0</v>
      </c>
      <c r="AO25" s="26" t="str">
        <f t="shared" si="81"/>
        <v/>
      </c>
    </row>
    <row r="26" spans="1:41" x14ac:dyDescent="0.3">
      <c r="A26" s="24"/>
      <c r="B26" s="25" t="s">
        <v>78</v>
      </c>
      <c r="C26" s="19">
        <f t="shared" si="82"/>
        <v>1</v>
      </c>
      <c r="D26" s="19">
        <f t="shared" si="10"/>
        <v>0</v>
      </c>
      <c r="E26" s="26">
        <f t="shared" si="11"/>
        <v>0</v>
      </c>
      <c r="F26" s="19">
        <f t="shared" si="83"/>
        <v>0</v>
      </c>
      <c r="G26" s="19">
        <f>COUNTIFS('C+8 Data'!$AB:$AB,F$1,'C+8 Data'!$L:$L,"Very Unsatisfactory (20%)")</f>
        <v>0</v>
      </c>
      <c r="H26" s="26" t="str">
        <f t="shared" si="12"/>
        <v/>
      </c>
      <c r="I26" s="19">
        <f t="shared" si="84"/>
        <v>1</v>
      </c>
      <c r="J26" s="19">
        <f>COUNTIFS('C+8 Data'!$AB:$AB,I$1,'C+8 Data'!$L:$L,"Very Unsatisfactory (20%)")</f>
        <v>0</v>
      </c>
      <c r="K26" s="26">
        <f t="shared" si="71"/>
        <v>0</v>
      </c>
      <c r="L26" s="19">
        <f t="shared" si="85"/>
        <v>0</v>
      </c>
      <c r="M26" s="19">
        <f>COUNTIFS('C+8 Data'!$AB:$AB,L$1,'C+8 Data'!$L:$L,"Very Unsatisfactory (20%)")</f>
        <v>0</v>
      </c>
      <c r="N26" s="26" t="str">
        <f t="shared" si="72"/>
        <v/>
      </c>
      <c r="O26" s="19">
        <f t="shared" si="86"/>
        <v>0</v>
      </c>
      <c r="P26" s="19">
        <f>COUNTIFS('C+8 Data'!$AB:$AB,O$1,'C+8 Data'!$L:$L,"Very Unsatisfactory (20%)")</f>
        <v>0</v>
      </c>
      <c r="Q26" s="26" t="str">
        <f t="shared" si="73"/>
        <v/>
      </c>
      <c r="R26" s="19">
        <f t="shared" si="87"/>
        <v>0</v>
      </c>
      <c r="S26" s="19">
        <f>COUNTIFS('C+8 Data'!$AB:$AB,R$1,'C+8 Data'!$L:$L,"Very Unsatisfactory (20%)")</f>
        <v>0</v>
      </c>
      <c r="T26" s="26" t="str">
        <f t="shared" si="74"/>
        <v/>
      </c>
      <c r="U26" s="19">
        <f t="shared" si="88"/>
        <v>0</v>
      </c>
      <c r="V26" s="19">
        <f>COUNTIFS('C+8 Data'!$AB:$AB,U$1,'C+8 Data'!$L:$L,"Very Unsatisfactory (20%)")</f>
        <v>0</v>
      </c>
      <c r="W26" s="26" t="str">
        <f t="shared" si="75"/>
        <v/>
      </c>
      <c r="X26" s="19">
        <f t="shared" si="89"/>
        <v>0</v>
      </c>
      <c r="Y26" s="19">
        <f>COUNTIFS('C+8 Data'!$AB:$AB,X$1,'C+8 Data'!$L:$L,"Very Unsatisfactory (20%)")</f>
        <v>0</v>
      </c>
      <c r="Z26" s="26" t="str">
        <f t="shared" si="76"/>
        <v/>
      </c>
      <c r="AA26" s="19">
        <f t="shared" si="90"/>
        <v>0</v>
      </c>
      <c r="AB26" s="19">
        <f>COUNTIFS('C+8 Data'!$AB:$AB,AA$1,'C+8 Data'!$L:$L,"Very Unsatisfactory (20%)")</f>
        <v>0</v>
      </c>
      <c r="AC26" s="26" t="str">
        <f t="shared" si="77"/>
        <v/>
      </c>
      <c r="AD26" s="19">
        <f t="shared" si="91"/>
        <v>0</v>
      </c>
      <c r="AE26" s="19">
        <f>COUNTIFS('C+8 Data'!$AB:$AB,AD$1,'C+8 Data'!$L:$L,"Very Unsatisfactory (20%)")</f>
        <v>0</v>
      </c>
      <c r="AF26" s="26" t="str">
        <f t="shared" si="78"/>
        <v/>
      </c>
      <c r="AG26" s="19">
        <f t="shared" si="92"/>
        <v>0</v>
      </c>
      <c r="AH26" s="19">
        <f>COUNTIFS('C+8 Data'!$AB:$AB,AG$1,'C+8 Data'!$L:$L,"Very Unsatisfactory (20%)")</f>
        <v>0</v>
      </c>
      <c r="AI26" s="26" t="str">
        <f t="shared" si="79"/>
        <v/>
      </c>
      <c r="AJ26" s="19">
        <f t="shared" si="93"/>
        <v>0</v>
      </c>
      <c r="AK26" s="19">
        <f>COUNTIFS('C+8 Data'!$AB:$AB,AJ$1,'C+8 Data'!$L:$L,"Very Unsatisfactory (20%)")</f>
        <v>0</v>
      </c>
      <c r="AL26" s="26" t="str">
        <f t="shared" si="80"/>
        <v/>
      </c>
      <c r="AM26" s="19">
        <f t="shared" si="94"/>
        <v>0</v>
      </c>
      <c r="AN26" s="19">
        <f>COUNTIFS('C+8 Data'!$AB:$AB,AM$1,'C+8 Data'!$L:$L,"Very Unsatisfactory (20%)")</f>
        <v>0</v>
      </c>
      <c r="AO26" s="26" t="str">
        <f t="shared" si="81"/>
        <v/>
      </c>
    </row>
    <row r="27" spans="1:41" ht="26.4" x14ac:dyDescent="0.3">
      <c r="A27" s="19">
        <v>5</v>
      </c>
      <c r="B27" s="3" t="s">
        <v>10</v>
      </c>
      <c r="C27" s="21"/>
      <c r="D27" s="19"/>
      <c r="E27" s="26"/>
      <c r="F27" s="21"/>
      <c r="G27" s="21"/>
      <c r="H27" s="26"/>
      <c r="I27" s="21"/>
      <c r="J27" s="21"/>
      <c r="K27" s="26"/>
      <c r="L27" s="21"/>
      <c r="M27" s="21"/>
      <c r="N27" s="26"/>
      <c r="O27" s="21"/>
      <c r="P27" s="21"/>
      <c r="Q27" s="26"/>
      <c r="R27" s="21"/>
      <c r="S27" s="21"/>
      <c r="T27" s="26"/>
      <c r="U27" s="21"/>
      <c r="V27" s="21"/>
      <c r="W27" s="26"/>
      <c r="X27" s="21"/>
      <c r="Y27" s="21"/>
      <c r="Z27" s="26"/>
      <c r="AA27" s="21"/>
      <c r="AB27" s="21"/>
      <c r="AC27" s="26"/>
      <c r="AD27" s="21"/>
      <c r="AE27" s="21"/>
      <c r="AF27" s="26"/>
      <c r="AG27" s="21"/>
      <c r="AH27" s="21"/>
      <c r="AI27" s="26"/>
      <c r="AJ27" s="21"/>
      <c r="AK27" s="21"/>
      <c r="AL27" s="26"/>
      <c r="AM27" s="21"/>
      <c r="AN27" s="21"/>
      <c r="AO27" s="26"/>
    </row>
    <row r="28" spans="1:41" x14ac:dyDescent="0.3">
      <c r="A28" s="24"/>
      <c r="B28" s="25" t="s">
        <v>74</v>
      </c>
      <c r="C28" s="19">
        <f>COUNTIF('C+8 Data'!$M:$M,"&lt;&gt;" &amp; "")-1</f>
        <v>1</v>
      </c>
      <c r="D28" s="19">
        <f t="shared" si="10"/>
        <v>1</v>
      </c>
      <c r="E28" s="26">
        <f t="shared" si="11"/>
        <v>1</v>
      </c>
      <c r="F28" s="19">
        <f>COUNTIFS('C+8 Data'!$AB:$AB,F$1,'C+8 Data'!$M:$M,"&lt;&gt;" &amp; "")</f>
        <v>0</v>
      </c>
      <c r="G28" s="19">
        <f>COUNTIFS('C+8 Data'!$AB:$AB,F$1,'C+8 Data'!$M:$M,"Very satisfactory (100%)")</f>
        <v>0</v>
      </c>
      <c r="H28" s="26" t="str">
        <f t="shared" si="12"/>
        <v/>
      </c>
      <c r="I28" s="19">
        <f>COUNTIFS('C+8 Data'!$AB:$AB,I$1,'C+8 Data'!$M:$M,"&lt;&gt;" &amp; "")</f>
        <v>1</v>
      </c>
      <c r="J28" s="19">
        <f>COUNTIFS('C+8 Data'!$AB:$AB,I$1,'C+8 Data'!$M:$M,"Very satisfactory (100%)")</f>
        <v>1</v>
      </c>
      <c r="K28" s="26">
        <f t="shared" ref="K28:K32" si="95">IF(I28 &lt;&gt; 0,J28/I28,"")</f>
        <v>1</v>
      </c>
      <c r="L28" s="19">
        <f>COUNTIFS('C+8 Data'!$AB:$AB,L$1,'C+8 Data'!$M:$M,"&lt;&gt;" &amp; "")</f>
        <v>0</v>
      </c>
      <c r="M28" s="19">
        <f>COUNTIFS('C+8 Data'!$AB:$AB,L$1,'C+8 Data'!$M:$M,"Very satisfactory (100%)")</f>
        <v>0</v>
      </c>
      <c r="N28" s="26" t="str">
        <f t="shared" ref="N28:N32" si="96">IF(L28 &lt;&gt; 0,M28/L28,"")</f>
        <v/>
      </c>
      <c r="O28" s="19">
        <f>COUNTIFS('C+8 Data'!$AB:$AB,O$1,'C+8 Data'!$M:$M,"&lt;&gt;" &amp; "")</f>
        <v>0</v>
      </c>
      <c r="P28" s="19">
        <f>COUNTIFS('C+8 Data'!$AB:$AB,O$1,'C+8 Data'!$M:$M,"Very satisfactory (100%)")</f>
        <v>0</v>
      </c>
      <c r="Q28" s="26" t="str">
        <f t="shared" ref="Q28:Q32" si="97">IF(O28 &lt;&gt; 0,P28/O28,"")</f>
        <v/>
      </c>
      <c r="R28" s="19">
        <f>COUNTIFS('C+8 Data'!$AB:$AB,R$1,'C+8 Data'!$M:$M,"&lt;&gt;" &amp; "")</f>
        <v>0</v>
      </c>
      <c r="S28" s="19">
        <f>COUNTIFS('C+8 Data'!$AB:$AB,R$1,'C+8 Data'!$M:$M,"Very satisfactory (100%)")</f>
        <v>0</v>
      </c>
      <c r="T28" s="26" t="str">
        <f t="shared" ref="T28:T32" si="98">IF(R28 &lt;&gt; 0,S28/R28,"")</f>
        <v/>
      </c>
      <c r="U28" s="19">
        <f>COUNTIFS('C+8 Data'!$AB:$AB,U$1,'C+8 Data'!$M:$M,"&lt;&gt;" &amp; "")</f>
        <v>0</v>
      </c>
      <c r="V28" s="19">
        <f>COUNTIFS('C+8 Data'!$AB:$AB,U$1,'C+8 Data'!$M:$M,"Very satisfactory (100%)")</f>
        <v>0</v>
      </c>
      <c r="W28" s="26" t="str">
        <f t="shared" ref="W28:W32" si="99">IF(U28 &lt;&gt; 0,V28/U28,"")</f>
        <v/>
      </c>
      <c r="X28" s="19">
        <f>COUNTIFS('C+8 Data'!$AB:$AB,X$1,'C+8 Data'!$M:$M,"&lt;&gt;" &amp; "")</f>
        <v>0</v>
      </c>
      <c r="Y28" s="19">
        <f>COUNTIFS('C+8 Data'!$AB:$AB,X$1,'C+8 Data'!$M:$M,"Very satisfactory (100%)")</f>
        <v>0</v>
      </c>
      <c r="Z28" s="26" t="str">
        <f t="shared" ref="Z28:Z32" si="100">IF(X28 &lt;&gt; 0,Y28/X28,"")</f>
        <v/>
      </c>
      <c r="AA28" s="19">
        <f>COUNTIFS('C+8 Data'!$AB:$AB,AA$1,'C+8 Data'!$M:$M,"&lt;&gt;" &amp; "")</f>
        <v>0</v>
      </c>
      <c r="AB28" s="19">
        <f>COUNTIFS('C+8 Data'!$AB:$AB,AA$1,'C+8 Data'!$M:$M,"Very satisfactory (100%)")</f>
        <v>0</v>
      </c>
      <c r="AC28" s="26" t="str">
        <f t="shared" ref="AC28:AC32" si="101">IF(AA28 &lt;&gt; 0,AB28/AA28,"")</f>
        <v/>
      </c>
      <c r="AD28" s="19">
        <f>COUNTIFS('C+8 Data'!$AB:$AB,AD$1,'C+8 Data'!$M:$M,"&lt;&gt;" &amp; "")</f>
        <v>0</v>
      </c>
      <c r="AE28" s="19">
        <f>COUNTIFS('C+8 Data'!$AB:$AB,AD$1,'C+8 Data'!$M:$M,"Very satisfactory (100%)")</f>
        <v>0</v>
      </c>
      <c r="AF28" s="26" t="str">
        <f t="shared" ref="AF28:AF32" si="102">IF(AD28 &lt;&gt; 0,AE28/AD28,"")</f>
        <v/>
      </c>
      <c r="AG28" s="19">
        <f>COUNTIFS('C+8 Data'!$AB:$AB,AG$1,'C+8 Data'!$M:$M,"&lt;&gt;" &amp; "")</f>
        <v>0</v>
      </c>
      <c r="AH28" s="19">
        <f>COUNTIFS('C+8 Data'!$AB:$AB,AG$1,'C+8 Data'!$M:$M,"Very satisfactory (100%)")</f>
        <v>0</v>
      </c>
      <c r="AI28" s="26" t="str">
        <f t="shared" ref="AI28:AI32" si="103">IF(AG28 &lt;&gt; 0,AH28/AG28,"")</f>
        <v/>
      </c>
      <c r="AJ28" s="19">
        <f>COUNTIFS('C+8 Data'!$AB:$AB,AJ$1,'C+8 Data'!$M:$M,"&lt;&gt;" &amp; "")</f>
        <v>0</v>
      </c>
      <c r="AK28" s="19">
        <f>COUNTIFS('C+8 Data'!$AB:$AB,AJ$1,'C+8 Data'!$M:$M,"Very satisfactory (100%)")</f>
        <v>0</v>
      </c>
      <c r="AL28" s="26" t="str">
        <f t="shared" ref="AL28:AL32" si="104">IF(AJ28 &lt;&gt; 0,AK28/AJ28,"")</f>
        <v/>
      </c>
      <c r="AM28" s="19">
        <f>COUNTIFS('C+8 Data'!$AB:$AB,AM$1,'C+8 Data'!$M:$M,"&lt;&gt;" &amp; "")</f>
        <v>0</v>
      </c>
      <c r="AN28" s="19">
        <f>COUNTIFS('C+8 Data'!$AB:$AB,AM$1,'C+8 Data'!$M:$M,"Very satisfactory (100%)")</f>
        <v>0</v>
      </c>
      <c r="AO28" s="26" t="str">
        <f t="shared" ref="AO28:AO32" si="105">IF(AM28 &lt;&gt; 0,AN28/AM28,"")</f>
        <v/>
      </c>
    </row>
    <row r="29" spans="1:41" x14ac:dyDescent="0.3">
      <c r="A29" s="24"/>
      <c r="B29" s="25" t="s">
        <v>75</v>
      </c>
      <c r="C29" s="19">
        <f>C28</f>
        <v>1</v>
      </c>
      <c r="D29" s="19">
        <f t="shared" si="10"/>
        <v>0</v>
      </c>
      <c r="E29" s="26">
        <f t="shared" si="11"/>
        <v>0</v>
      </c>
      <c r="F29" s="19">
        <f>F28</f>
        <v>0</v>
      </c>
      <c r="G29" s="19">
        <f>COUNTIFS('C+8 Data'!$AB:$AB,F$1,'C+8 Data'!$M:$M,"Satisfactory (80%)")</f>
        <v>0</v>
      </c>
      <c r="H29" s="26" t="str">
        <f t="shared" si="12"/>
        <v/>
      </c>
      <c r="I29" s="19">
        <f>I28</f>
        <v>1</v>
      </c>
      <c r="J29" s="19">
        <f>COUNTIFS('C+8 Data'!$AB:$AB,I$1,'C+8 Data'!$M:$M,"Satisfactory (80%)")</f>
        <v>0</v>
      </c>
      <c r="K29" s="26">
        <f t="shared" si="95"/>
        <v>0</v>
      </c>
      <c r="L29" s="19">
        <f>L28</f>
        <v>0</v>
      </c>
      <c r="M29" s="19">
        <f>COUNTIFS('C+8 Data'!$AB:$AB,L$1,'C+8 Data'!$M:$M,"Satisfactory (80%)")</f>
        <v>0</v>
      </c>
      <c r="N29" s="26" t="str">
        <f t="shared" si="96"/>
        <v/>
      </c>
      <c r="O29" s="19">
        <f>O28</f>
        <v>0</v>
      </c>
      <c r="P29" s="19">
        <f>COUNTIFS('C+8 Data'!$AB:$AB,O$1,'C+8 Data'!$M:$M,"Satisfactory (80%)")</f>
        <v>0</v>
      </c>
      <c r="Q29" s="26" t="str">
        <f t="shared" si="97"/>
        <v/>
      </c>
      <c r="R29" s="19">
        <f>R28</f>
        <v>0</v>
      </c>
      <c r="S29" s="19">
        <f>COUNTIFS('C+8 Data'!$AB:$AB,R$1,'C+8 Data'!$M:$M,"Satisfactory (80%)")</f>
        <v>0</v>
      </c>
      <c r="T29" s="26" t="str">
        <f t="shared" si="98"/>
        <v/>
      </c>
      <c r="U29" s="19">
        <f>U28</f>
        <v>0</v>
      </c>
      <c r="V29" s="19">
        <f>COUNTIFS('C+8 Data'!$AB:$AB,U$1,'C+8 Data'!$M:$M,"Satisfactory (80%)")</f>
        <v>0</v>
      </c>
      <c r="W29" s="26" t="str">
        <f t="shared" si="99"/>
        <v/>
      </c>
      <c r="X29" s="19">
        <f>X28</f>
        <v>0</v>
      </c>
      <c r="Y29" s="19">
        <f>COUNTIFS('C+8 Data'!$AB:$AB,X$1,'C+8 Data'!$M:$M,"Satisfactory (80%)")</f>
        <v>0</v>
      </c>
      <c r="Z29" s="26" t="str">
        <f t="shared" si="100"/>
        <v/>
      </c>
      <c r="AA29" s="19">
        <f>AA28</f>
        <v>0</v>
      </c>
      <c r="AB29" s="19">
        <f>COUNTIFS('C+8 Data'!$AB:$AB,AA$1,'C+8 Data'!$M:$M,"Satisfactory (80%)")</f>
        <v>0</v>
      </c>
      <c r="AC29" s="26" t="str">
        <f t="shared" si="101"/>
        <v/>
      </c>
      <c r="AD29" s="19">
        <f>AD28</f>
        <v>0</v>
      </c>
      <c r="AE29" s="19">
        <f>COUNTIFS('C+8 Data'!$AB:$AB,AD$1,'C+8 Data'!$M:$M,"Satisfactory (80%)")</f>
        <v>0</v>
      </c>
      <c r="AF29" s="26" t="str">
        <f t="shared" si="102"/>
        <v/>
      </c>
      <c r="AG29" s="19">
        <f>AG28</f>
        <v>0</v>
      </c>
      <c r="AH29" s="19">
        <f>COUNTIFS('C+8 Data'!$AB:$AB,AG$1,'C+8 Data'!$M:$M,"Satisfactory (80%)")</f>
        <v>0</v>
      </c>
      <c r="AI29" s="26" t="str">
        <f t="shared" si="103"/>
        <v/>
      </c>
      <c r="AJ29" s="19">
        <f>AJ28</f>
        <v>0</v>
      </c>
      <c r="AK29" s="19">
        <f>COUNTIFS('C+8 Data'!$AB:$AB,AJ$1,'C+8 Data'!$M:$M,"Satisfactory (80%)")</f>
        <v>0</v>
      </c>
      <c r="AL29" s="26" t="str">
        <f t="shared" si="104"/>
        <v/>
      </c>
      <c r="AM29" s="19">
        <f>AM28</f>
        <v>0</v>
      </c>
      <c r="AN29" s="19">
        <f>COUNTIFS('C+8 Data'!$AB:$AB,AM$1,'C+8 Data'!$M:$M,"Satisfactory (80%)")</f>
        <v>0</v>
      </c>
      <c r="AO29" s="26" t="str">
        <f t="shared" si="105"/>
        <v/>
      </c>
    </row>
    <row r="30" spans="1:41" x14ac:dyDescent="0.3">
      <c r="A30" s="24"/>
      <c r="B30" s="25" t="s">
        <v>76</v>
      </c>
      <c r="C30" s="19">
        <f t="shared" ref="C30:C32" si="106">C29</f>
        <v>1</v>
      </c>
      <c r="D30" s="19">
        <f t="shared" si="10"/>
        <v>0</v>
      </c>
      <c r="E30" s="26">
        <f t="shared" si="11"/>
        <v>0</v>
      </c>
      <c r="F30" s="19">
        <f t="shared" ref="F30:F31" si="107">F29</f>
        <v>0</v>
      </c>
      <c r="G30" s="19">
        <f>COUNTIFS('C+8 Data'!$AB:$AB,F$1,'C+8 Data'!$M:$M,"Average (60%)")</f>
        <v>0</v>
      </c>
      <c r="H30" s="26" t="str">
        <f t="shared" si="12"/>
        <v/>
      </c>
      <c r="I30" s="19">
        <f t="shared" ref="I30:I31" si="108">I29</f>
        <v>1</v>
      </c>
      <c r="J30" s="19">
        <f>COUNTIFS('C+8 Data'!$AB:$AB,I$1,'C+8 Data'!$M:$M,"Average (60%)")</f>
        <v>0</v>
      </c>
      <c r="K30" s="26">
        <f t="shared" si="95"/>
        <v>0</v>
      </c>
      <c r="L30" s="19">
        <f t="shared" ref="L30:L31" si="109">L29</f>
        <v>0</v>
      </c>
      <c r="M30" s="19">
        <f>COUNTIFS('C+8 Data'!$AB:$AB,L$1,'C+8 Data'!$M:$M,"Average (60%)")</f>
        <v>0</v>
      </c>
      <c r="N30" s="26" t="str">
        <f t="shared" si="96"/>
        <v/>
      </c>
      <c r="O30" s="19">
        <f t="shared" ref="O30:O31" si="110">O29</f>
        <v>0</v>
      </c>
      <c r="P30" s="19">
        <f>COUNTIFS('C+8 Data'!$AB:$AB,O$1,'C+8 Data'!$M:$M,"Average (60%)")</f>
        <v>0</v>
      </c>
      <c r="Q30" s="26" t="str">
        <f t="shared" si="97"/>
        <v/>
      </c>
      <c r="R30" s="19">
        <f t="shared" ref="R30:R31" si="111">R29</f>
        <v>0</v>
      </c>
      <c r="S30" s="19">
        <f>COUNTIFS('C+8 Data'!$AB:$AB,R$1,'C+8 Data'!$M:$M,"Average (60%)")</f>
        <v>0</v>
      </c>
      <c r="T30" s="26" t="str">
        <f t="shared" si="98"/>
        <v/>
      </c>
      <c r="U30" s="19">
        <f t="shared" ref="U30:U31" si="112">U29</f>
        <v>0</v>
      </c>
      <c r="V30" s="19">
        <f>COUNTIFS('C+8 Data'!$AB:$AB,U$1,'C+8 Data'!$M:$M,"Average (60%)")</f>
        <v>0</v>
      </c>
      <c r="W30" s="26" t="str">
        <f t="shared" si="99"/>
        <v/>
      </c>
      <c r="X30" s="19">
        <f t="shared" ref="X30:X31" si="113">X29</f>
        <v>0</v>
      </c>
      <c r="Y30" s="19">
        <f>COUNTIFS('C+8 Data'!$AB:$AB,X$1,'C+8 Data'!$M:$M,"Average (60%)")</f>
        <v>0</v>
      </c>
      <c r="Z30" s="26" t="str">
        <f t="shared" si="100"/>
        <v/>
      </c>
      <c r="AA30" s="19">
        <f t="shared" ref="AA30:AA31" si="114">AA29</f>
        <v>0</v>
      </c>
      <c r="AB30" s="19">
        <f>COUNTIFS('C+8 Data'!$AB:$AB,AA$1,'C+8 Data'!$M:$M,"Average (60%)")</f>
        <v>0</v>
      </c>
      <c r="AC30" s="26" t="str">
        <f t="shared" si="101"/>
        <v/>
      </c>
      <c r="AD30" s="19">
        <f t="shared" ref="AD30:AD31" si="115">AD29</f>
        <v>0</v>
      </c>
      <c r="AE30" s="19">
        <f>COUNTIFS('C+8 Data'!$AB:$AB,AD$1,'C+8 Data'!$M:$M,"Average (60%)")</f>
        <v>0</v>
      </c>
      <c r="AF30" s="26" t="str">
        <f t="shared" si="102"/>
        <v/>
      </c>
      <c r="AG30" s="19">
        <f t="shared" ref="AG30:AG31" si="116">AG29</f>
        <v>0</v>
      </c>
      <c r="AH30" s="19">
        <f>COUNTIFS('C+8 Data'!$AB:$AB,AG$1,'C+8 Data'!$M:$M,"Average (60%)")</f>
        <v>0</v>
      </c>
      <c r="AI30" s="26" t="str">
        <f t="shared" si="103"/>
        <v/>
      </c>
      <c r="AJ30" s="19">
        <f t="shared" ref="AJ30:AJ31" si="117">AJ29</f>
        <v>0</v>
      </c>
      <c r="AK30" s="19">
        <f>COUNTIFS('C+8 Data'!$AB:$AB,AJ$1,'C+8 Data'!$M:$M,"Average (60%)")</f>
        <v>0</v>
      </c>
      <c r="AL30" s="26" t="str">
        <f t="shared" si="104"/>
        <v/>
      </c>
      <c r="AM30" s="19">
        <f t="shared" ref="AM30:AM31" si="118">AM29</f>
        <v>0</v>
      </c>
      <c r="AN30" s="19">
        <f>COUNTIFS('C+8 Data'!$AB:$AB,AM$1,'C+8 Data'!$M:$M,"Average (60%)")</f>
        <v>0</v>
      </c>
      <c r="AO30" s="26" t="str">
        <f t="shared" si="105"/>
        <v/>
      </c>
    </row>
    <row r="31" spans="1:41" x14ac:dyDescent="0.3">
      <c r="A31" s="24"/>
      <c r="B31" s="25" t="s">
        <v>77</v>
      </c>
      <c r="C31" s="19">
        <f t="shared" si="106"/>
        <v>1</v>
      </c>
      <c r="D31" s="19">
        <f t="shared" si="10"/>
        <v>0</v>
      </c>
      <c r="E31" s="26">
        <f t="shared" si="11"/>
        <v>0</v>
      </c>
      <c r="F31" s="19">
        <f t="shared" si="107"/>
        <v>0</v>
      </c>
      <c r="G31" s="19">
        <f>COUNTIFS('C+8 Data'!$AB:$AB,F$1,'C+8 Data'!$M:$M,"Unsatisfactory (40%)")</f>
        <v>0</v>
      </c>
      <c r="H31" s="26" t="str">
        <f t="shared" si="12"/>
        <v/>
      </c>
      <c r="I31" s="19">
        <f t="shared" si="108"/>
        <v>1</v>
      </c>
      <c r="J31" s="19">
        <f>COUNTIFS('C+8 Data'!$AB:$AB,I$1,'C+8 Data'!$M:$M,"Unsatisfactory (40%)")</f>
        <v>0</v>
      </c>
      <c r="K31" s="26">
        <f t="shared" si="95"/>
        <v>0</v>
      </c>
      <c r="L31" s="19">
        <f t="shared" si="109"/>
        <v>0</v>
      </c>
      <c r="M31" s="19">
        <f>COUNTIFS('C+8 Data'!$AB:$AB,L$1,'C+8 Data'!$M:$M,"Unsatisfactory (40%)")</f>
        <v>0</v>
      </c>
      <c r="N31" s="26" t="str">
        <f t="shared" si="96"/>
        <v/>
      </c>
      <c r="O31" s="19">
        <f t="shared" si="110"/>
        <v>0</v>
      </c>
      <c r="P31" s="19">
        <f>COUNTIFS('C+8 Data'!$AB:$AB,O$1,'C+8 Data'!$M:$M,"Unsatisfactory (40%)")</f>
        <v>0</v>
      </c>
      <c r="Q31" s="26" t="str">
        <f t="shared" si="97"/>
        <v/>
      </c>
      <c r="R31" s="19">
        <f t="shared" si="111"/>
        <v>0</v>
      </c>
      <c r="S31" s="19">
        <f>COUNTIFS('C+8 Data'!$AB:$AB,R$1,'C+8 Data'!$M:$M,"Unsatisfactory (40%)")</f>
        <v>0</v>
      </c>
      <c r="T31" s="26" t="str">
        <f t="shared" si="98"/>
        <v/>
      </c>
      <c r="U31" s="19">
        <f t="shared" si="112"/>
        <v>0</v>
      </c>
      <c r="V31" s="19">
        <f>COUNTIFS('C+8 Data'!$AB:$AB,U$1,'C+8 Data'!$M:$M,"Unsatisfactory (40%)")</f>
        <v>0</v>
      </c>
      <c r="W31" s="26" t="str">
        <f t="shared" si="99"/>
        <v/>
      </c>
      <c r="X31" s="19">
        <f t="shared" si="113"/>
        <v>0</v>
      </c>
      <c r="Y31" s="19">
        <f>COUNTIFS('C+8 Data'!$AB:$AB,X$1,'C+8 Data'!$M:$M,"Unsatisfactory (40%)")</f>
        <v>0</v>
      </c>
      <c r="Z31" s="26" t="str">
        <f t="shared" si="100"/>
        <v/>
      </c>
      <c r="AA31" s="19">
        <f t="shared" si="114"/>
        <v>0</v>
      </c>
      <c r="AB31" s="19">
        <f>COUNTIFS('C+8 Data'!$AB:$AB,AA$1,'C+8 Data'!$M:$M,"Unsatisfactory (40%)")</f>
        <v>0</v>
      </c>
      <c r="AC31" s="26" t="str">
        <f t="shared" si="101"/>
        <v/>
      </c>
      <c r="AD31" s="19">
        <f t="shared" si="115"/>
        <v>0</v>
      </c>
      <c r="AE31" s="19">
        <f>COUNTIFS('C+8 Data'!$AB:$AB,AD$1,'C+8 Data'!$M:$M,"Unsatisfactory (40%)")</f>
        <v>0</v>
      </c>
      <c r="AF31" s="26" t="str">
        <f t="shared" si="102"/>
        <v/>
      </c>
      <c r="AG31" s="19">
        <f t="shared" si="116"/>
        <v>0</v>
      </c>
      <c r="AH31" s="19">
        <f>COUNTIFS('C+8 Data'!$AB:$AB,AG$1,'C+8 Data'!$M:$M,"Unsatisfactory (40%)")</f>
        <v>0</v>
      </c>
      <c r="AI31" s="26" t="str">
        <f t="shared" si="103"/>
        <v/>
      </c>
      <c r="AJ31" s="19">
        <f t="shared" si="117"/>
        <v>0</v>
      </c>
      <c r="AK31" s="19">
        <f>COUNTIFS('C+8 Data'!$AB:$AB,AJ$1,'C+8 Data'!$M:$M,"Unsatisfactory (40%)")</f>
        <v>0</v>
      </c>
      <c r="AL31" s="26" t="str">
        <f t="shared" si="104"/>
        <v/>
      </c>
      <c r="AM31" s="19">
        <f t="shared" si="118"/>
        <v>0</v>
      </c>
      <c r="AN31" s="19">
        <f>COUNTIFS('C+8 Data'!$AB:$AB,AM$1,'C+8 Data'!$M:$M,"Unsatisfactory (40%)")</f>
        <v>0</v>
      </c>
      <c r="AO31" s="26" t="str">
        <f t="shared" si="105"/>
        <v/>
      </c>
    </row>
    <row r="32" spans="1:41" x14ac:dyDescent="0.3">
      <c r="A32" s="24"/>
      <c r="B32" s="25" t="s">
        <v>78</v>
      </c>
      <c r="C32" s="19">
        <f t="shared" si="106"/>
        <v>1</v>
      </c>
      <c r="D32" s="19">
        <f t="shared" si="10"/>
        <v>0</v>
      </c>
      <c r="E32" s="26">
        <f t="shared" si="11"/>
        <v>0</v>
      </c>
      <c r="F32" s="19">
        <f>F31</f>
        <v>0</v>
      </c>
      <c r="G32" s="19">
        <f>COUNTIFS('C+8 Data'!$AB:$AB,F$1,'C+8 Data'!$M:$M,"Very Unsatisfactory (20%)")</f>
        <v>0</v>
      </c>
      <c r="H32" s="26" t="str">
        <f t="shared" si="12"/>
        <v/>
      </c>
      <c r="I32" s="19">
        <f>I31</f>
        <v>1</v>
      </c>
      <c r="J32" s="19">
        <f>COUNTIFS('C+8 Data'!$AB:$AB,I$1,'C+8 Data'!$M:$M,"Very Unsatisfactory (20%)")</f>
        <v>0</v>
      </c>
      <c r="K32" s="26">
        <f t="shared" si="95"/>
        <v>0</v>
      </c>
      <c r="L32" s="19">
        <f>L31</f>
        <v>0</v>
      </c>
      <c r="M32" s="19">
        <f>COUNTIFS('C+8 Data'!$AB:$AB,L$1,'C+8 Data'!$M:$M,"Very Unsatisfactory (20%)")</f>
        <v>0</v>
      </c>
      <c r="N32" s="26" t="str">
        <f t="shared" si="96"/>
        <v/>
      </c>
      <c r="O32" s="19">
        <f>O31</f>
        <v>0</v>
      </c>
      <c r="P32" s="19">
        <f>COUNTIFS('C+8 Data'!$AB:$AB,O$1,'C+8 Data'!$M:$M,"Very Unsatisfactory (20%)")</f>
        <v>0</v>
      </c>
      <c r="Q32" s="26" t="str">
        <f t="shared" si="97"/>
        <v/>
      </c>
      <c r="R32" s="19">
        <f>R31</f>
        <v>0</v>
      </c>
      <c r="S32" s="19">
        <f>COUNTIFS('C+8 Data'!$AB:$AB,R$1,'C+8 Data'!$M:$M,"Very Unsatisfactory (20%)")</f>
        <v>0</v>
      </c>
      <c r="T32" s="26" t="str">
        <f t="shared" si="98"/>
        <v/>
      </c>
      <c r="U32" s="19">
        <f>U31</f>
        <v>0</v>
      </c>
      <c r="V32" s="19">
        <f>COUNTIFS('C+8 Data'!$AB:$AB,U$1,'C+8 Data'!$M:$M,"Very Unsatisfactory (20%)")</f>
        <v>0</v>
      </c>
      <c r="W32" s="26" t="str">
        <f t="shared" si="99"/>
        <v/>
      </c>
      <c r="X32" s="19">
        <f>X31</f>
        <v>0</v>
      </c>
      <c r="Y32" s="19">
        <f>COUNTIFS('C+8 Data'!$AB:$AB,X$1,'C+8 Data'!$M:$M,"Very Unsatisfactory (20%)")</f>
        <v>0</v>
      </c>
      <c r="Z32" s="26" t="str">
        <f t="shared" si="100"/>
        <v/>
      </c>
      <c r="AA32" s="19">
        <f>AA31</f>
        <v>0</v>
      </c>
      <c r="AB32" s="19">
        <f>COUNTIFS('C+8 Data'!$AB:$AB,AA$1,'C+8 Data'!$M:$M,"Very Unsatisfactory (20%)")</f>
        <v>0</v>
      </c>
      <c r="AC32" s="26" t="str">
        <f t="shared" si="101"/>
        <v/>
      </c>
      <c r="AD32" s="19">
        <f>AD31</f>
        <v>0</v>
      </c>
      <c r="AE32" s="19">
        <f>COUNTIFS('C+8 Data'!$AB:$AB,AD$1,'C+8 Data'!$M:$M,"Very Unsatisfactory (20%)")</f>
        <v>0</v>
      </c>
      <c r="AF32" s="26" t="str">
        <f t="shared" si="102"/>
        <v/>
      </c>
      <c r="AG32" s="19">
        <f>AG31</f>
        <v>0</v>
      </c>
      <c r="AH32" s="19">
        <f>COUNTIFS('C+8 Data'!$AB:$AB,AG$1,'C+8 Data'!$M:$M,"Very Unsatisfactory (20%)")</f>
        <v>0</v>
      </c>
      <c r="AI32" s="26" t="str">
        <f t="shared" si="103"/>
        <v/>
      </c>
      <c r="AJ32" s="19">
        <f>AJ31</f>
        <v>0</v>
      </c>
      <c r="AK32" s="19">
        <f>COUNTIFS('C+8 Data'!$AB:$AB,AJ$1,'C+8 Data'!$M:$M,"Very Unsatisfactory (20%)")</f>
        <v>0</v>
      </c>
      <c r="AL32" s="26" t="str">
        <f t="shared" si="104"/>
        <v/>
      </c>
      <c r="AM32" s="19">
        <f>AM31</f>
        <v>0</v>
      </c>
      <c r="AN32" s="19">
        <f>COUNTIFS('C+8 Data'!$AB:$AB,AM$1,'C+8 Data'!$M:$M,"Very Unsatisfactory (20%)")</f>
        <v>0</v>
      </c>
      <c r="AO32" s="26" t="str">
        <f t="shared" si="105"/>
        <v/>
      </c>
    </row>
    <row r="33" spans="1:41" ht="26.4" x14ac:dyDescent="0.3">
      <c r="A33" s="19">
        <v>6</v>
      </c>
      <c r="B33" s="27" t="s">
        <v>11</v>
      </c>
      <c r="C33" s="21"/>
      <c r="D33" s="19"/>
      <c r="E33" s="26"/>
      <c r="F33" s="21"/>
      <c r="G33" s="21"/>
      <c r="H33" s="26"/>
      <c r="I33" s="21"/>
      <c r="J33" s="21"/>
      <c r="K33" s="26"/>
      <c r="L33" s="21"/>
      <c r="M33" s="21"/>
      <c r="N33" s="26"/>
      <c r="O33" s="21"/>
      <c r="P33" s="21"/>
      <c r="Q33" s="26"/>
      <c r="R33" s="21"/>
      <c r="S33" s="21"/>
      <c r="T33" s="26"/>
      <c r="U33" s="21"/>
      <c r="V33" s="21"/>
      <c r="W33" s="26"/>
      <c r="X33" s="21"/>
      <c r="Y33" s="21"/>
      <c r="Z33" s="26"/>
      <c r="AA33" s="21"/>
      <c r="AB33" s="21"/>
      <c r="AC33" s="26"/>
      <c r="AD33" s="21"/>
      <c r="AE33" s="21"/>
      <c r="AF33" s="26"/>
      <c r="AG33" s="21"/>
      <c r="AH33" s="21"/>
      <c r="AI33" s="26"/>
      <c r="AJ33" s="21"/>
      <c r="AK33" s="21"/>
      <c r="AL33" s="26"/>
      <c r="AM33" s="21"/>
      <c r="AN33" s="21"/>
      <c r="AO33" s="26"/>
    </row>
    <row r="34" spans="1:41" x14ac:dyDescent="0.3">
      <c r="A34" s="19"/>
      <c r="B34" s="27" t="s">
        <v>12</v>
      </c>
      <c r="C34" s="19">
        <f>COUNTIF('C+8 Data'!$O:$O,"&lt;&gt;" &amp; "")-1</f>
        <v>1</v>
      </c>
      <c r="D34" s="19">
        <f t="shared" si="10"/>
        <v>1</v>
      </c>
      <c r="E34" s="26">
        <f t="shared" si="11"/>
        <v>1</v>
      </c>
      <c r="F34" s="19">
        <f>COUNTIFS('C+8 Data'!$AB:$AB,F$1,'C+8 Data'!$O:$O,"&lt;&gt;" &amp; "")</f>
        <v>0</v>
      </c>
      <c r="G34" s="19">
        <f>COUNTIFS('C+8 Data'!$AB:$AB,F$1,'C+8 Data'!$O:$O,$B34)</f>
        <v>0</v>
      </c>
      <c r="H34" s="26" t="str">
        <f t="shared" si="12"/>
        <v/>
      </c>
      <c r="I34" s="19">
        <f>COUNTIFS('C+8 Data'!$AB:$AB,I$1,'C+8 Data'!$O:$O,"&lt;&gt;" &amp; "")</f>
        <v>1</v>
      </c>
      <c r="J34" s="19">
        <f>COUNTIFS('C+8 Data'!$AB:$AB,I$1,'C+8 Data'!$O:$O,$B34)</f>
        <v>1</v>
      </c>
      <c r="K34" s="26">
        <f t="shared" ref="K34:K35" si="119">IF(I34 &lt;&gt; 0,J34/I34,"")</f>
        <v>1</v>
      </c>
      <c r="L34" s="19">
        <f>COUNTIFS('C+8 Data'!$AB:$AB,L$1,'C+8 Data'!$O:$O,"&lt;&gt;" &amp; "")</f>
        <v>0</v>
      </c>
      <c r="M34" s="19">
        <f>COUNTIFS('C+8 Data'!$AB:$AB,L$1,'C+8 Data'!$O:$O,$B34)</f>
        <v>0</v>
      </c>
      <c r="N34" s="26" t="str">
        <f t="shared" ref="N34:N35" si="120">IF(L34 &lt;&gt; 0,M34/L34,"")</f>
        <v/>
      </c>
      <c r="O34" s="19">
        <f>COUNTIFS('C+8 Data'!$AB:$AB,O$1,'C+8 Data'!$O:$O,"&lt;&gt;" &amp; "")</f>
        <v>0</v>
      </c>
      <c r="P34" s="19">
        <f>COUNTIFS('C+8 Data'!$AB:$AB,O$1,'C+8 Data'!$O:$O,$B34)</f>
        <v>0</v>
      </c>
      <c r="Q34" s="26" t="str">
        <f t="shared" ref="Q34:Q35" si="121">IF(O34 &lt;&gt; 0,P34/O34,"")</f>
        <v/>
      </c>
      <c r="R34" s="19">
        <f>COUNTIFS('C+8 Data'!$AB:$AB,R$1,'C+8 Data'!$O:$O,"&lt;&gt;" &amp; "")</f>
        <v>0</v>
      </c>
      <c r="S34" s="19">
        <f>COUNTIFS('C+8 Data'!$AB:$AB,R$1,'C+8 Data'!$O:$O,$B34)</f>
        <v>0</v>
      </c>
      <c r="T34" s="26" t="str">
        <f t="shared" ref="T34:T35" si="122">IF(R34 &lt;&gt; 0,S34/R34,"")</f>
        <v/>
      </c>
      <c r="U34" s="19">
        <f>COUNTIFS('C+8 Data'!$AB:$AB,U$1,'C+8 Data'!$O:$O,"&lt;&gt;" &amp; "")</f>
        <v>0</v>
      </c>
      <c r="V34" s="19">
        <f>COUNTIFS('C+8 Data'!$AB:$AB,U$1,'C+8 Data'!$O:$O,$B34)</f>
        <v>0</v>
      </c>
      <c r="W34" s="26" t="str">
        <f t="shared" ref="W34:W35" si="123">IF(U34 &lt;&gt; 0,V34/U34,"")</f>
        <v/>
      </c>
      <c r="X34" s="19">
        <f>COUNTIFS('C+8 Data'!$AB:$AB,X$1,'C+8 Data'!$O:$O,"&lt;&gt;" &amp; "")</f>
        <v>0</v>
      </c>
      <c r="Y34" s="19">
        <f>COUNTIFS('C+8 Data'!$AB:$AB,X$1,'C+8 Data'!$O:$O,$B34)</f>
        <v>0</v>
      </c>
      <c r="Z34" s="26" t="str">
        <f t="shared" ref="Z34:Z35" si="124">IF(X34 &lt;&gt; 0,Y34/X34,"")</f>
        <v/>
      </c>
      <c r="AA34" s="19">
        <f>COUNTIFS('C+8 Data'!$AB:$AB,AA$1,'C+8 Data'!$O:$O,"&lt;&gt;" &amp; "")</f>
        <v>0</v>
      </c>
      <c r="AB34" s="19">
        <f>COUNTIFS('C+8 Data'!$AB:$AB,AA$1,'C+8 Data'!$O:$O,$B34)</f>
        <v>0</v>
      </c>
      <c r="AC34" s="26" t="str">
        <f t="shared" ref="AC34:AC35" si="125">IF(AA34 &lt;&gt; 0,AB34/AA34,"")</f>
        <v/>
      </c>
      <c r="AD34" s="19">
        <f>COUNTIFS('C+8 Data'!$AB:$AB,AD$1,'C+8 Data'!$O:$O,"&lt;&gt;" &amp; "")</f>
        <v>0</v>
      </c>
      <c r="AE34" s="19">
        <f>COUNTIFS('C+8 Data'!$AB:$AB,AD$1,'C+8 Data'!$O:$O,$B34)</f>
        <v>0</v>
      </c>
      <c r="AF34" s="26" t="str">
        <f t="shared" ref="AF34:AF35" si="126">IF(AD34 &lt;&gt; 0,AE34/AD34,"")</f>
        <v/>
      </c>
      <c r="AG34" s="19">
        <f>COUNTIFS('C+8 Data'!$AB:$AB,AG$1,'C+8 Data'!$O:$O,"&lt;&gt;" &amp; "")</f>
        <v>0</v>
      </c>
      <c r="AH34" s="19">
        <f>COUNTIFS('C+8 Data'!$AB:$AB,AG$1,'C+8 Data'!$O:$O,$B34)</f>
        <v>0</v>
      </c>
      <c r="AI34" s="26" t="str">
        <f t="shared" ref="AI34:AI35" si="127">IF(AG34 &lt;&gt; 0,AH34/AG34,"")</f>
        <v/>
      </c>
      <c r="AJ34" s="19">
        <f>COUNTIFS('C+8 Data'!$AB:$AB,AJ$1,'C+8 Data'!$O:$O,"&lt;&gt;" &amp; "")</f>
        <v>0</v>
      </c>
      <c r="AK34" s="19">
        <f>COUNTIFS('C+8 Data'!$AB:$AB,AJ$1,'C+8 Data'!$O:$O,$B34)</f>
        <v>0</v>
      </c>
      <c r="AL34" s="26" t="str">
        <f t="shared" ref="AL34:AL35" si="128">IF(AJ34 &lt;&gt; 0,AK34/AJ34,"")</f>
        <v/>
      </c>
      <c r="AM34" s="19">
        <f>COUNTIFS('C+8 Data'!$AB:$AB,AM$1,'C+8 Data'!$O:$O,"&lt;&gt;" &amp; "")</f>
        <v>0</v>
      </c>
      <c r="AN34" s="19">
        <f>COUNTIFS('C+8 Data'!$AB:$AB,AM$1,'C+8 Data'!$O:$O,$B34)</f>
        <v>0</v>
      </c>
      <c r="AO34" s="26" t="str">
        <f t="shared" ref="AO34:AO35" si="129">IF(AM34 &lt;&gt; 0,AN34/AM34,"")</f>
        <v/>
      </c>
    </row>
    <row r="35" spans="1:41" x14ac:dyDescent="0.3">
      <c r="A35" s="19"/>
      <c r="B35" s="27" t="s">
        <v>13</v>
      </c>
      <c r="C35" s="24">
        <f>C34</f>
        <v>1</v>
      </c>
      <c r="D35" s="19">
        <f t="shared" si="10"/>
        <v>0</v>
      </c>
      <c r="E35" s="26">
        <f t="shared" si="11"/>
        <v>0</v>
      </c>
      <c r="F35" s="19">
        <f t="shared" ref="F35" si="130">F34</f>
        <v>0</v>
      </c>
      <c r="G35" s="19">
        <f>COUNTIFS('C+8 Data'!$H:$H,F$1,'C+8 Data'!$O:$O,$B35)</f>
        <v>0</v>
      </c>
      <c r="H35" s="26" t="str">
        <f t="shared" si="12"/>
        <v/>
      </c>
      <c r="I35" s="19">
        <f t="shared" ref="I35" si="131">I34</f>
        <v>1</v>
      </c>
      <c r="J35" s="19">
        <f>COUNTIFS('C+8 Data'!$H:$H,I$1,'C+8 Data'!$O:$O,$B35)</f>
        <v>0</v>
      </c>
      <c r="K35" s="26">
        <f t="shared" si="119"/>
        <v>0</v>
      </c>
      <c r="L35" s="19">
        <f t="shared" ref="L35" si="132">L34</f>
        <v>0</v>
      </c>
      <c r="M35" s="19">
        <f>COUNTIFS('C+8 Data'!$H:$H,L$1,'C+8 Data'!$O:$O,$B35)</f>
        <v>0</v>
      </c>
      <c r="N35" s="26" t="str">
        <f t="shared" si="120"/>
        <v/>
      </c>
      <c r="O35" s="19">
        <f t="shared" ref="O35" si="133">O34</f>
        <v>0</v>
      </c>
      <c r="P35" s="19">
        <f>COUNTIFS('C+8 Data'!$H:$H,O$1,'C+8 Data'!$O:$O,$B35)</f>
        <v>0</v>
      </c>
      <c r="Q35" s="26" t="str">
        <f t="shared" si="121"/>
        <v/>
      </c>
      <c r="R35" s="19">
        <f t="shared" ref="R35" si="134">R34</f>
        <v>0</v>
      </c>
      <c r="S35" s="19">
        <f>COUNTIFS('C+8 Data'!$H:$H,R$1,'C+8 Data'!$O:$O,$B35)</f>
        <v>0</v>
      </c>
      <c r="T35" s="26" t="str">
        <f t="shared" si="122"/>
        <v/>
      </c>
      <c r="U35" s="19">
        <f t="shared" ref="U35" si="135">U34</f>
        <v>0</v>
      </c>
      <c r="V35" s="19">
        <f>COUNTIFS('C+8 Data'!$H:$H,U$1,'C+8 Data'!$O:$O,$B35)</f>
        <v>0</v>
      </c>
      <c r="W35" s="26" t="str">
        <f t="shared" si="123"/>
        <v/>
      </c>
      <c r="X35" s="19">
        <f t="shared" ref="X35" si="136">X34</f>
        <v>0</v>
      </c>
      <c r="Y35" s="19">
        <f>COUNTIFS('C+8 Data'!$H:$H,X$1,'C+8 Data'!$O:$O,$B35)</f>
        <v>0</v>
      </c>
      <c r="Z35" s="26" t="str">
        <f t="shared" si="124"/>
        <v/>
      </c>
      <c r="AA35" s="19">
        <f t="shared" ref="AA35" si="137">AA34</f>
        <v>0</v>
      </c>
      <c r="AB35" s="19">
        <f>COUNTIFS('C+8 Data'!$H:$H,AA$1,'C+8 Data'!$O:$O,$B35)</f>
        <v>0</v>
      </c>
      <c r="AC35" s="26" t="str">
        <f t="shared" si="125"/>
        <v/>
      </c>
      <c r="AD35" s="19">
        <f t="shared" ref="AD35" si="138">AD34</f>
        <v>0</v>
      </c>
      <c r="AE35" s="19">
        <f>COUNTIFS('C+8 Data'!$H:$H,AD$1,'C+8 Data'!$O:$O,$B35)</f>
        <v>0</v>
      </c>
      <c r="AF35" s="26" t="str">
        <f t="shared" si="126"/>
        <v/>
      </c>
      <c r="AG35" s="19">
        <f t="shared" ref="AG35" si="139">AG34</f>
        <v>0</v>
      </c>
      <c r="AH35" s="19">
        <f>COUNTIFS('C+8 Data'!$H:$H,AG$1,'C+8 Data'!$O:$O,$B35)</f>
        <v>0</v>
      </c>
      <c r="AI35" s="26" t="str">
        <f t="shared" si="127"/>
        <v/>
      </c>
      <c r="AJ35" s="19">
        <f t="shared" ref="AJ35" si="140">AJ34</f>
        <v>0</v>
      </c>
      <c r="AK35" s="19">
        <f>COUNTIFS('C+8 Data'!$H:$H,AJ$1,'C+8 Data'!$O:$O,$B35)</f>
        <v>0</v>
      </c>
      <c r="AL35" s="26" t="str">
        <f t="shared" si="128"/>
        <v/>
      </c>
      <c r="AM35" s="19">
        <f t="shared" ref="AM35" si="141">AM34</f>
        <v>0</v>
      </c>
      <c r="AN35" s="19">
        <f>COUNTIFS('C+8 Data'!$H:$H,AM$1,'C+8 Data'!$O:$O,$B35)</f>
        <v>0</v>
      </c>
      <c r="AO35" s="26" t="str">
        <f t="shared" si="129"/>
        <v/>
      </c>
    </row>
    <row r="36" spans="1:41" ht="26.4" x14ac:dyDescent="0.3">
      <c r="A36" s="19">
        <v>7</v>
      </c>
      <c r="B36" s="28" t="s">
        <v>14</v>
      </c>
      <c r="C36" s="19"/>
      <c r="D36" s="19"/>
      <c r="E36" s="26"/>
      <c r="F36" s="19"/>
      <c r="G36" s="19"/>
      <c r="H36" s="26"/>
      <c r="I36" s="19"/>
      <c r="J36" s="19"/>
      <c r="K36" s="26"/>
      <c r="L36" s="19"/>
      <c r="M36" s="19"/>
      <c r="N36" s="26"/>
      <c r="O36" s="19"/>
      <c r="P36" s="19"/>
      <c r="Q36" s="26"/>
      <c r="R36" s="19"/>
      <c r="S36" s="19"/>
      <c r="T36" s="26"/>
      <c r="U36" s="19"/>
      <c r="V36" s="19"/>
      <c r="W36" s="26"/>
      <c r="X36" s="19"/>
      <c r="Y36" s="19"/>
      <c r="Z36" s="26"/>
      <c r="AA36" s="19"/>
      <c r="AB36" s="19"/>
      <c r="AC36" s="26"/>
      <c r="AD36" s="19"/>
      <c r="AE36" s="19"/>
      <c r="AF36" s="26"/>
      <c r="AG36" s="19"/>
      <c r="AH36" s="19"/>
      <c r="AI36" s="26"/>
      <c r="AJ36" s="19"/>
      <c r="AK36" s="19"/>
      <c r="AL36" s="26"/>
      <c r="AM36" s="19"/>
      <c r="AN36" s="19"/>
      <c r="AO36" s="26"/>
    </row>
    <row r="37" spans="1:41" x14ac:dyDescent="0.3">
      <c r="A37" s="19">
        <v>7.1</v>
      </c>
      <c r="B37" s="27" t="s">
        <v>15</v>
      </c>
      <c r="C37" s="21"/>
      <c r="D37" s="19"/>
      <c r="E37" s="26"/>
      <c r="F37" s="21"/>
      <c r="G37" s="21"/>
      <c r="H37" s="26"/>
      <c r="I37" s="21"/>
      <c r="J37" s="21"/>
      <c r="K37" s="26"/>
      <c r="L37" s="21"/>
      <c r="M37" s="21"/>
      <c r="N37" s="26"/>
      <c r="O37" s="21"/>
      <c r="P37" s="21"/>
      <c r="Q37" s="26"/>
      <c r="R37" s="21"/>
      <c r="S37" s="21"/>
      <c r="T37" s="26"/>
      <c r="U37" s="21"/>
      <c r="V37" s="21"/>
      <c r="W37" s="26"/>
      <c r="X37" s="21"/>
      <c r="Y37" s="21"/>
      <c r="Z37" s="26"/>
      <c r="AA37" s="21"/>
      <c r="AB37" s="21"/>
      <c r="AC37" s="26"/>
      <c r="AD37" s="21"/>
      <c r="AE37" s="21"/>
      <c r="AF37" s="26"/>
      <c r="AG37" s="21"/>
      <c r="AH37" s="21"/>
      <c r="AI37" s="26"/>
      <c r="AJ37" s="21"/>
      <c r="AK37" s="21"/>
      <c r="AL37" s="26"/>
      <c r="AM37" s="21"/>
      <c r="AN37" s="21"/>
      <c r="AO37" s="26"/>
    </row>
    <row r="38" spans="1:41" x14ac:dyDescent="0.3">
      <c r="A38" s="19"/>
      <c r="B38" s="27" t="s">
        <v>12</v>
      </c>
      <c r="C38" s="19">
        <f>COUNTIF('C+8 Data'!$P:$P,"&lt;&gt;" &amp; "")-1</f>
        <v>1</v>
      </c>
      <c r="D38" s="19">
        <f t="shared" si="10"/>
        <v>1</v>
      </c>
      <c r="E38" s="26">
        <f t="shared" si="11"/>
        <v>1</v>
      </c>
      <c r="F38" s="19">
        <f>COUNTIFS('C+8 Data'!$AB:$AB,F$1,'C+8 Data'!$P:$P,"&lt;&gt;" &amp; "")</f>
        <v>0</v>
      </c>
      <c r="G38" s="19">
        <f>COUNTIFS('C+8 Data'!$AB:$AB,F$1,'C+8 Data'!$P:$P,$B38)</f>
        <v>0</v>
      </c>
      <c r="H38" s="26" t="str">
        <f t="shared" si="12"/>
        <v/>
      </c>
      <c r="I38" s="19">
        <f>COUNTIFS('C+8 Data'!$AB:$AB,I$1,'C+8 Data'!$P:$P,"&lt;&gt;" &amp; "")</f>
        <v>1</v>
      </c>
      <c r="J38" s="19">
        <f>COUNTIFS('C+8 Data'!$AB:$AB,I$1,'C+8 Data'!$P:$P,$B38)</f>
        <v>1</v>
      </c>
      <c r="K38" s="26">
        <f t="shared" ref="K38:K39" si="142">IF(I38 &lt;&gt; 0,J38/I38,"")</f>
        <v>1</v>
      </c>
      <c r="L38" s="19">
        <f>COUNTIFS('C+8 Data'!$AB:$AB,L$1,'C+8 Data'!$P:$P,"&lt;&gt;" &amp; "")</f>
        <v>0</v>
      </c>
      <c r="M38" s="19">
        <f>COUNTIFS('C+8 Data'!$AB:$AB,L$1,'C+8 Data'!$P:$P,$B38)</f>
        <v>0</v>
      </c>
      <c r="N38" s="26" t="str">
        <f t="shared" ref="N38:N39" si="143">IF(L38 &lt;&gt; 0,M38/L38,"")</f>
        <v/>
      </c>
      <c r="O38" s="19">
        <f>COUNTIFS('C+8 Data'!$AB:$AB,O$1,'C+8 Data'!$P:$P,"&lt;&gt;" &amp; "")</f>
        <v>0</v>
      </c>
      <c r="P38" s="19">
        <f>COUNTIFS('C+8 Data'!$AB:$AB,O$1,'C+8 Data'!$P:$P,$B38)</f>
        <v>0</v>
      </c>
      <c r="Q38" s="26" t="str">
        <f t="shared" ref="Q38:Q39" si="144">IF(O38 &lt;&gt; 0,P38/O38,"")</f>
        <v/>
      </c>
      <c r="R38" s="19">
        <f>COUNTIFS('C+8 Data'!$AB:$AB,R$1,'C+8 Data'!$P:$P,"&lt;&gt;" &amp; "")</f>
        <v>0</v>
      </c>
      <c r="S38" s="19">
        <f>COUNTIFS('C+8 Data'!$AB:$AB,R$1,'C+8 Data'!$P:$P,$B38)</f>
        <v>0</v>
      </c>
      <c r="T38" s="26" t="str">
        <f t="shared" ref="T38:T39" si="145">IF(R38 &lt;&gt; 0,S38/R38,"")</f>
        <v/>
      </c>
      <c r="U38" s="19">
        <f>COUNTIFS('C+8 Data'!$AB:$AB,U$1,'C+8 Data'!$P:$P,"&lt;&gt;" &amp; "")</f>
        <v>0</v>
      </c>
      <c r="V38" s="19">
        <f>COUNTIFS('C+8 Data'!$AB:$AB,U$1,'C+8 Data'!$P:$P,$B38)</f>
        <v>0</v>
      </c>
      <c r="W38" s="26" t="str">
        <f t="shared" ref="W38:W39" si="146">IF(U38 &lt;&gt; 0,V38/U38,"")</f>
        <v/>
      </c>
      <c r="X38" s="19">
        <f>COUNTIFS('C+8 Data'!$AB:$AB,X$1,'C+8 Data'!$P:$P,"&lt;&gt;" &amp; "")</f>
        <v>0</v>
      </c>
      <c r="Y38" s="19">
        <f>COUNTIFS('C+8 Data'!$AB:$AB,X$1,'C+8 Data'!$P:$P,$B38)</f>
        <v>0</v>
      </c>
      <c r="Z38" s="26" t="str">
        <f t="shared" ref="Z38:Z39" si="147">IF(X38 &lt;&gt; 0,Y38/X38,"")</f>
        <v/>
      </c>
      <c r="AA38" s="19">
        <f>COUNTIFS('C+8 Data'!$AB:$AB,AA$1,'C+8 Data'!$P:$P,"&lt;&gt;" &amp; "")</f>
        <v>0</v>
      </c>
      <c r="AB38" s="19">
        <f>COUNTIFS('C+8 Data'!$AB:$AB,AA$1,'C+8 Data'!$P:$P,$B38)</f>
        <v>0</v>
      </c>
      <c r="AC38" s="26" t="str">
        <f t="shared" ref="AC38:AC39" si="148">IF(AA38 &lt;&gt; 0,AB38/AA38,"")</f>
        <v/>
      </c>
      <c r="AD38" s="19">
        <f>COUNTIFS('C+8 Data'!$AB:$AB,AD$1,'C+8 Data'!$P:$P,"&lt;&gt;" &amp; "")</f>
        <v>0</v>
      </c>
      <c r="AE38" s="19">
        <f>COUNTIFS('C+8 Data'!$AB:$AB,AD$1,'C+8 Data'!$P:$P,$B38)</f>
        <v>0</v>
      </c>
      <c r="AF38" s="26" t="str">
        <f t="shared" ref="AF38:AF39" si="149">IF(AD38 &lt;&gt; 0,AE38/AD38,"")</f>
        <v/>
      </c>
      <c r="AG38" s="19">
        <f>COUNTIFS('C+8 Data'!$AB:$AB,AG$1,'C+8 Data'!$P:$P,"&lt;&gt;" &amp; "")</f>
        <v>0</v>
      </c>
      <c r="AH38" s="19">
        <f>COUNTIFS('C+8 Data'!$AB:$AB,AG$1,'C+8 Data'!$P:$P,$B38)</f>
        <v>0</v>
      </c>
      <c r="AI38" s="26" t="str">
        <f t="shared" ref="AI38:AI39" si="150">IF(AG38 &lt;&gt; 0,AH38/AG38,"")</f>
        <v/>
      </c>
      <c r="AJ38" s="19">
        <f>COUNTIFS('C+8 Data'!$AB:$AB,AJ$1,'C+8 Data'!$P:$P,"&lt;&gt;" &amp; "")</f>
        <v>0</v>
      </c>
      <c r="AK38" s="19">
        <f>COUNTIFS('C+8 Data'!$AB:$AB,AJ$1,'C+8 Data'!$P:$P,$B38)</f>
        <v>0</v>
      </c>
      <c r="AL38" s="26" t="str">
        <f t="shared" ref="AL38:AL39" si="151">IF(AJ38 &lt;&gt; 0,AK38/AJ38,"")</f>
        <v/>
      </c>
      <c r="AM38" s="19">
        <f>COUNTIFS('C+8 Data'!$AB:$AB,AM$1,'C+8 Data'!$P:$P,"&lt;&gt;" &amp; "")</f>
        <v>0</v>
      </c>
      <c r="AN38" s="19">
        <f>COUNTIFS('C+8 Data'!$AB:$AB,AM$1,'C+8 Data'!$P:$P,$B38)</f>
        <v>0</v>
      </c>
      <c r="AO38" s="26" t="str">
        <f t="shared" ref="AO38:AO39" si="152">IF(AM38 &lt;&gt; 0,AN38/AM38,"")</f>
        <v/>
      </c>
    </row>
    <row r="39" spans="1:41" x14ac:dyDescent="0.3">
      <c r="A39" s="19"/>
      <c r="B39" s="27" t="s">
        <v>13</v>
      </c>
      <c r="C39" s="24">
        <f>C38</f>
        <v>1</v>
      </c>
      <c r="D39" s="19">
        <f t="shared" si="10"/>
        <v>0</v>
      </c>
      <c r="E39" s="26">
        <f t="shared" si="11"/>
        <v>0</v>
      </c>
      <c r="F39" s="19">
        <f t="shared" ref="F39" si="153">F38</f>
        <v>0</v>
      </c>
      <c r="G39" s="19">
        <f>COUNTIFS('C+8 Data'!$AB:$AB,F$1,'C+8 Data'!$P:$P,$B39)</f>
        <v>0</v>
      </c>
      <c r="H39" s="26" t="str">
        <f t="shared" si="12"/>
        <v/>
      </c>
      <c r="I39" s="19">
        <f t="shared" ref="I39" si="154">I38</f>
        <v>1</v>
      </c>
      <c r="J39" s="19">
        <f>COUNTIFS('C+8 Data'!$AB:$AB,I$1,'C+8 Data'!$P:$P,$B39)</f>
        <v>0</v>
      </c>
      <c r="K39" s="26">
        <f t="shared" si="142"/>
        <v>0</v>
      </c>
      <c r="L39" s="19">
        <f t="shared" ref="L39" si="155">L38</f>
        <v>0</v>
      </c>
      <c r="M39" s="19">
        <f>COUNTIFS('C+8 Data'!$AB:$AB,L$1,'C+8 Data'!$P:$P,$B39)</f>
        <v>0</v>
      </c>
      <c r="N39" s="26" t="str">
        <f t="shared" si="143"/>
        <v/>
      </c>
      <c r="O39" s="19">
        <f t="shared" ref="O39" si="156">O38</f>
        <v>0</v>
      </c>
      <c r="P39" s="19">
        <f>COUNTIFS('C+8 Data'!$AB:$AB,O$1,'C+8 Data'!$P:$P,$B39)</f>
        <v>0</v>
      </c>
      <c r="Q39" s="26" t="str">
        <f t="shared" si="144"/>
        <v/>
      </c>
      <c r="R39" s="19">
        <f t="shared" ref="R39" si="157">R38</f>
        <v>0</v>
      </c>
      <c r="S39" s="19">
        <f>COUNTIFS('C+8 Data'!$AB:$AB,R$1,'C+8 Data'!$P:$P,$B39)</f>
        <v>0</v>
      </c>
      <c r="T39" s="26" t="str">
        <f t="shared" si="145"/>
        <v/>
      </c>
      <c r="U39" s="19">
        <f t="shared" ref="U39" si="158">U38</f>
        <v>0</v>
      </c>
      <c r="V39" s="19">
        <f>COUNTIFS('C+8 Data'!$AB:$AB,U$1,'C+8 Data'!$P:$P,$B39)</f>
        <v>0</v>
      </c>
      <c r="W39" s="26" t="str">
        <f t="shared" si="146"/>
        <v/>
      </c>
      <c r="X39" s="19">
        <f t="shared" ref="X39" si="159">X38</f>
        <v>0</v>
      </c>
      <c r="Y39" s="19">
        <f>COUNTIFS('C+8 Data'!$AB:$AB,X$1,'C+8 Data'!$P:$P,$B39)</f>
        <v>0</v>
      </c>
      <c r="Z39" s="26" t="str">
        <f t="shared" si="147"/>
        <v/>
      </c>
      <c r="AA39" s="19">
        <f t="shared" ref="AA39" si="160">AA38</f>
        <v>0</v>
      </c>
      <c r="AB39" s="19">
        <f>COUNTIFS('C+8 Data'!$AB:$AB,AA$1,'C+8 Data'!$P:$P,$B39)</f>
        <v>0</v>
      </c>
      <c r="AC39" s="26" t="str">
        <f t="shared" si="148"/>
        <v/>
      </c>
      <c r="AD39" s="19">
        <f t="shared" ref="AD39" si="161">AD38</f>
        <v>0</v>
      </c>
      <c r="AE39" s="19">
        <f>COUNTIFS('C+8 Data'!$AB:$AB,AD$1,'C+8 Data'!$P:$P,$B39)</f>
        <v>0</v>
      </c>
      <c r="AF39" s="26" t="str">
        <f t="shared" si="149"/>
        <v/>
      </c>
      <c r="AG39" s="19">
        <f t="shared" ref="AG39" si="162">AG38</f>
        <v>0</v>
      </c>
      <c r="AH39" s="19">
        <f>COUNTIFS('C+8 Data'!$AB:$AB,AG$1,'C+8 Data'!$P:$P,$B39)</f>
        <v>0</v>
      </c>
      <c r="AI39" s="26" t="str">
        <f t="shared" si="150"/>
        <v/>
      </c>
      <c r="AJ39" s="19">
        <f t="shared" ref="AJ39" si="163">AJ38</f>
        <v>0</v>
      </c>
      <c r="AK39" s="19">
        <f>COUNTIFS('C+8 Data'!$AB:$AB,AJ$1,'C+8 Data'!$P:$P,$B39)</f>
        <v>0</v>
      </c>
      <c r="AL39" s="26" t="str">
        <f t="shared" si="151"/>
        <v/>
      </c>
      <c r="AM39" s="19">
        <f t="shared" ref="AM39" si="164">AM38</f>
        <v>0</v>
      </c>
      <c r="AN39" s="19">
        <f>COUNTIFS('C+8 Data'!$AB:$AB,AM$1,'C+8 Data'!$P:$P,$B39)</f>
        <v>0</v>
      </c>
      <c r="AO39" s="26" t="str">
        <f t="shared" si="152"/>
        <v/>
      </c>
    </row>
    <row r="40" spans="1:41" x14ac:dyDescent="0.3">
      <c r="A40" s="24">
        <v>7.2</v>
      </c>
      <c r="B40" s="27" t="s">
        <v>16</v>
      </c>
      <c r="C40" s="19"/>
      <c r="D40" s="19"/>
      <c r="E40" s="26"/>
      <c r="F40" s="19"/>
      <c r="G40" s="24"/>
      <c r="H40" s="26"/>
      <c r="I40" s="19"/>
      <c r="J40" s="24"/>
      <c r="K40" s="26"/>
      <c r="L40" s="19"/>
      <c r="M40" s="24"/>
      <c r="N40" s="26"/>
      <c r="O40" s="19"/>
      <c r="P40" s="24"/>
      <c r="Q40" s="26"/>
      <c r="R40" s="19"/>
      <c r="S40" s="24"/>
      <c r="T40" s="26"/>
      <c r="U40" s="19"/>
      <c r="V40" s="24"/>
      <c r="W40" s="26"/>
      <c r="X40" s="19"/>
      <c r="Y40" s="24"/>
      <c r="Z40" s="26"/>
      <c r="AA40" s="19"/>
      <c r="AB40" s="24"/>
      <c r="AC40" s="26"/>
      <c r="AD40" s="19"/>
      <c r="AE40" s="24"/>
      <c r="AF40" s="26"/>
      <c r="AG40" s="19"/>
      <c r="AH40" s="24"/>
      <c r="AI40" s="26"/>
      <c r="AJ40" s="19"/>
      <c r="AK40" s="24"/>
      <c r="AL40" s="26"/>
      <c r="AM40" s="19"/>
      <c r="AN40" s="24"/>
      <c r="AO40" s="26"/>
    </row>
    <row r="41" spans="1:41" x14ac:dyDescent="0.3">
      <c r="A41" s="19"/>
      <c r="B41" s="27" t="s">
        <v>12</v>
      </c>
      <c r="C41" s="19">
        <f>COUNTIF('C+8 Data'!$Q:$Q,"&lt;&gt;" &amp; "")-1</f>
        <v>1</v>
      </c>
      <c r="D41" s="19">
        <f t="shared" si="10"/>
        <v>1</v>
      </c>
      <c r="E41" s="26">
        <f t="shared" si="11"/>
        <v>1</v>
      </c>
      <c r="F41" s="19">
        <f>COUNTIFS('C+8 Data'!$AB:$AB,F$1,'C+8 Data'!$Q:$Q,"&lt;&gt;" &amp; "")</f>
        <v>0</v>
      </c>
      <c r="G41" s="19">
        <f>COUNTIFS('C+8 Data'!$AB:$AB,F$1,'C+8 Data'!$Q:$Q,$B41)</f>
        <v>0</v>
      </c>
      <c r="H41" s="26" t="str">
        <f t="shared" si="12"/>
        <v/>
      </c>
      <c r="I41" s="19">
        <f>COUNTIFS('C+8 Data'!$AB:$AB,I$1,'C+8 Data'!$Q:$Q,"&lt;&gt;" &amp; "")</f>
        <v>1</v>
      </c>
      <c r="J41" s="19">
        <f>COUNTIFS('C+8 Data'!$AB:$AB,I$1,'C+8 Data'!$Q:$Q,$B41)</f>
        <v>1</v>
      </c>
      <c r="K41" s="26">
        <f t="shared" ref="K41:K42" si="165">IF(I41 &lt;&gt; 0,J41/I41,"")</f>
        <v>1</v>
      </c>
      <c r="L41" s="19">
        <f>COUNTIFS('C+8 Data'!$AB:$AB,L$1,'C+8 Data'!$Q:$Q,"&lt;&gt;" &amp; "")</f>
        <v>0</v>
      </c>
      <c r="M41" s="19">
        <f>COUNTIFS('C+8 Data'!$AB:$AB,L$1,'C+8 Data'!$Q:$Q,$B41)</f>
        <v>0</v>
      </c>
      <c r="N41" s="26" t="str">
        <f t="shared" ref="N41:N42" si="166">IF(L41 &lt;&gt; 0,M41/L41,"")</f>
        <v/>
      </c>
      <c r="O41" s="19">
        <f>COUNTIFS('C+8 Data'!$AB:$AB,O$1,'C+8 Data'!$Q:$Q,"&lt;&gt;" &amp; "")</f>
        <v>0</v>
      </c>
      <c r="P41" s="19">
        <f>COUNTIFS('C+8 Data'!$AB:$AB,O$1,'C+8 Data'!$Q:$Q,$B41)</f>
        <v>0</v>
      </c>
      <c r="Q41" s="26" t="str">
        <f t="shared" ref="Q41:Q42" si="167">IF(O41 &lt;&gt; 0,P41/O41,"")</f>
        <v/>
      </c>
      <c r="R41" s="19">
        <f>COUNTIFS('C+8 Data'!$AB:$AB,R$1,'C+8 Data'!$Q:$Q,"&lt;&gt;" &amp; "")</f>
        <v>0</v>
      </c>
      <c r="S41" s="19">
        <f>COUNTIFS('C+8 Data'!$AB:$AB,R$1,'C+8 Data'!$Q:$Q,$B41)</f>
        <v>0</v>
      </c>
      <c r="T41" s="26" t="str">
        <f t="shared" ref="T41:T42" si="168">IF(R41 &lt;&gt; 0,S41/R41,"")</f>
        <v/>
      </c>
      <c r="U41" s="19">
        <f>COUNTIFS('C+8 Data'!$AB:$AB,U$1,'C+8 Data'!$Q:$Q,"&lt;&gt;" &amp; "")</f>
        <v>0</v>
      </c>
      <c r="V41" s="19">
        <f>COUNTIFS('C+8 Data'!$AB:$AB,U$1,'C+8 Data'!$Q:$Q,$B41)</f>
        <v>0</v>
      </c>
      <c r="W41" s="26" t="str">
        <f t="shared" ref="W41:W42" si="169">IF(U41 &lt;&gt; 0,V41/U41,"")</f>
        <v/>
      </c>
      <c r="X41" s="19">
        <f>COUNTIFS('C+8 Data'!$AB:$AB,X$1,'C+8 Data'!$Q:$Q,"&lt;&gt;" &amp; "")</f>
        <v>0</v>
      </c>
      <c r="Y41" s="19">
        <f>COUNTIFS('C+8 Data'!$AB:$AB,X$1,'C+8 Data'!$Q:$Q,$B41)</f>
        <v>0</v>
      </c>
      <c r="Z41" s="26" t="str">
        <f t="shared" ref="Z41:Z42" si="170">IF(X41 &lt;&gt; 0,Y41/X41,"")</f>
        <v/>
      </c>
      <c r="AA41" s="19">
        <f>COUNTIFS('C+8 Data'!$AB:$AB,AA$1,'C+8 Data'!$Q:$Q,"&lt;&gt;" &amp; "")</f>
        <v>0</v>
      </c>
      <c r="AB41" s="19">
        <f>COUNTIFS('C+8 Data'!$AB:$AB,AA$1,'C+8 Data'!$Q:$Q,$B41)</f>
        <v>0</v>
      </c>
      <c r="AC41" s="26" t="str">
        <f t="shared" ref="AC41:AC42" si="171">IF(AA41 &lt;&gt; 0,AB41/AA41,"")</f>
        <v/>
      </c>
      <c r="AD41" s="19">
        <f>COUNTIFS('C+8 Data'!$AB:$AB,AD$1,'C+8 Data'!$Q:$Q,"&lt;&gt;" &amp; "")</f>
        <v>0</v>
      </c>
      <c r="AE41" s="19">
        <f>COUNTIFS('C+8 Data'!$AB:$AB,AD$1,'C+8 Data'!$Q:$Q,$B41)</f>
        <v>0</v>
      </c>
      <c r="AF41" s="26" t="str">
        <f t="shared" ref="AF41:AF42" si="172">IF(AD41 &lt;&gt; 0,AE41/AD41,"")</f>
        <v/>
      </c>
      <c r="AG41" s="19">
        <f>COUNTIFS('C+8 Data'!$AB:$AB,AG$1,'C+8 Data'!$Q:$Q,"&lt;&gt;" &amp; "")</f>
        <v>0</v>
      </c>
      <c r="AH41" s="19">
        <f>COUNTIFS('C+8 Data'!$AB:$AB,AG$1,'C+8 Data'!$Q:$Q,$B41)</f>
        <v>0</v>
      </c>
      <c r="AI41" s="26" t="str">
        <f t="shared" ref="AI41:AI42" si="173">IF(AG41 &lt;&gt; 0,AH41/AG41,"")</f>
        <v/>
      </c>
      <c r="AJ41" s="19">
        <f>COUNTIFS('C+8 Data'!$AB:$AB,AJ$1,'C+8 Data'!$Q:$Q,"&lt;&gt;" &amp; "")</f>
        <v>0</v>
      </c>
      <c r="AK41" s="19">
        <f>COUNTIFS('C+8 Data'!$AB:$AB,AJ$1,'C+8 Data'!$Q:$Q,$B41)</f>
        <v>0</v>
      </c>
      <c r="AL41" s="26" t="str">
        <f t="shared" ref="AL41:AL42" si="174">IF(AJ41 &lt;&gt; 0,AK41/AJ41,"")</f>
        <v/>
      </c>
      <c r="AM41" s="19">
        <f>COUNTIFS('C+8 Data'!$AB:$AB,AM$1,'C+8 Data'!$Q:$Q,"&lt;&gt;" &amp; "")</f>
        <v>0</v>
      </c>
      <c r="AN41" s="19">
        <f>COUNTIFS('C+8 Data'!$AB:$AB,AM$1,'C+8 Data'!$Q:$Q,$B41)</f>
        <v>0</v>
      </c>
      <c r="AO41" s="26" t="str">
        <f t="shared" ref="AO41:AO42" si="175">IF(AM41 &lt;&gt; 0,AN41/AM41,"")</f>
        <v/>
      </c>
    </row>
    <row r="42" spans="1:41" x14ac:dyDescent="0.3">
      <c r="A42" s="19"/>
      <c r="B42" s="27" t="s">
        <v>13</v>
      </c>
      <c r="C42" s="24">
        <f>C41</f>
        <v>1</v>
      </c>
      <c r="D42" s="19">
        <f t="shared" si="10"/>
        <v>0</v>
      </c>
      <c r="E42" s="26">
        <f t="shared" si="11"/>
        <v>0</v>
      </c>
      <c r="F42" s="19">
        <f t="shared" ref="F42" si="176">F41</f>
        <v>0</v>
      </c>
      <c r="G42" s="19">
        <f>COUNTIFS('C+8 Data'!$AB:$AB,F$1,'C+8 Data'!$Q:$Q,$B42)</f>
        <v>0</v>
      </c>
      <c r="H42" s="26" t="str">
        <f t="shared" si="12"/>
        <v/>
      </c>
      <c r="I42" s="19">
        <f t="shared" ref="I42" si="177">I41</f>
        <v>1</v>
      </c>
      <c r="J42" s="19">
        <f>COUNTIFS('C+8 Data'!$AB:$AB,I$1,'C+8 Data'!$Q:$Q,$B42)</f>
        <v>0</v>
      </c>
      <c r="K42" s="26">
        <f t="shared" si="165"/>
        <v>0</v>
      </c>
      <c r="L42" s="19">
        <f t="shared" ref="L42" si="178">L41</f>
        <v>0</v>
      </c>
      <c r="M42" s="19">
        <f>COUNTIFS('C+8 Data'!$AB:$AB,L$1,'C+8 Data'!$Q:$Q,$B42)</f>
        <v>0</v>
      </c>
      <c r="N42" s="26" t="str">
        <f t="shared" si="166"/>
        <v/>
      </c>
      <c r="O42" s="19">
        <f t="shared" ref="O42" si="179">O41</f>
        <v>0</v>
      </c>
      <c r="P42" s="19">
        <f>COUNTIFS('C+8 Data'!$AB:$AB,O$1,'C+8 Data'!$Q:$Q,$B42)</f>
        <v>0</v>
      </c>
      <c r="Q42" s="26" t="str">
        <f t="shared" si="167"/>
        <v/>
      </c>
      <c r="R42" s="19">
        <f t="shared" ref="R42" si="180">R41</f>
        <v>0</v>
      </c>
      <c r="S42" s="19">
        <f>COUNTIFS('C+8 Data'!$AB:$AB,R$1,'C+8 Data'!$Q:$Q,$B42)</f>
        <v>0</v>
      </c>
      <c r="T42" s="26" t="str">
        <f t="shared" si="168"/>
        <v/>
      </c>
      <c r="U42" s="19">
        <f t="shared" ref="U42" si="181">U41</f>
        <v>0</v>
      </c>
      <c r="V42" s="19">
        <f>COUNTIFS('C+8 Data'!$AB:$AB,U$1,'C+8 Data'!$Q:$Q,$B42)</f>
        <v>0</v>
      </c>
      <c r="W42" s="26" t="str">
        <f t="shared" si="169"/>
        <v/>
      </c>
      <c r="X42" s="19">
        <f t="shared" ref="X42" si="182">X41</f>
        <v>0</v>
      </c>
      <c r="Y42" s="19">
        <f>COUNTIFS('C+8 Data'!$AB:$AB,X$1,'C+8 Data'!$Q:$Q,$B42)</f>
        <v>0</v>
      </c>
      <c r="Z42" s="26" t="str">
        <f t="shared" si="170"/>
        <v/>
      </c>
      <c r="AA42" s="19">
        <f t="shared" ref="AA42" si="183">AA41</f>
        <v>0</v>
      </c>
      <c r="AB42" s="19">
        <f>COUNTIFS('C+8 Data'!$AB:$AB,AA$1,'C+8 Data'!$Q:$Q,$B42)</f>
        <v>0</v>
      </c>
      <c r="AC42" s="26" t="str">
        <f t="shared" si="171"/>
        <v/>
      </c>
      <c r="AD42" s="19">
        <f t="shared" ref="AD42" si="184">AD41</f>
        <v>0</v>
      </c>
      <c r="AE42" s="19">
        <f>COUNTIFS('C+8 Data'!$AB:$AB,AD$1,'C+8 Data'!$Q:$Q,$B42)</f>
        <v>0</v>
      </c>
      <c r="AF42" s="26" t="str">
        <f t="shared" si="172"/>
        <v/>
      </c>
      <c r="AG42" s="19">
        <f t="shared" ref="AG42" si="185">AG41</f>
        <v>0</v>
      </c>
      <c r="AH42" s="19">
        <f>COUNTIFS('C+8 Data'!$AB:$AB,AG$1,'C+8 Data'!$Q:$Q,$B42)</f>
        <v>0</v>
      </c>
      <c r="AI42" s="26" t="str">
        <f t="shared" si="173"/>
        <v/>
      </c>
      <c r="AJ42" s="19">
        <f t="shared" ref="AJ42" si="186">AJ41</f>
        <v>0</v>
      </c>
      <c r="AK42" s="19">
        <f>COUNTIFS('C+8 Data'!$AB:$AB,AJ$1,'C+8 Data'!$Q:$Q,$B42)</f>
        <v>0</v>
      </c>
      <c r="AL42" s="26" t="str">
        <f t="shared" si="174"/>
        <v/>
      </c>
      <c r="AM42" s="19">
        <f t="shared" ref="AM42" si="187">AM41</f>
        <v>0</v>
      </c>
      <c r="AN42" s="19">
        <f>COUNTIFS('C+8 Data'!$AB:$AB,AM$1,'C+8 Data'!$Q:$Q,$B42)</f>
        <v>0</v>
      </c>
      <c r="AO42" s="26" t="str">
        <f t="shared" si="175"/>
        <v/>
      </c>
    </row>
    <row r="43" spans="1:41" x14ac:dyDescent="0.3">
      <c r="A43" s="24">
        <v>7.3</v>
      </c>
      <c r="B43" s="29" t="s">
        <v>17</v>
      </c>
      <c r="C43" s="19"/>
      <c r="D43" s="19"/>
      <c r="E43" s="26"/>
      <c r="F43" s="19"/>
      <c r="G43" s="19"/>
      <c r="H43" s="26"/>
      <c r="I43" s="19"/>
      <c r="J43" s="19"/>
      <c r="K43" s="26"/>
      <c r="L43" s="19"/>
      <c r="M43" s="19"/>
      <c r="N43" s="26"/>
      <c r="O43" s="19"/>
      <c r="P43" s="19"/>
      <c r="Q43" s="26"/>
      <c r="R43" s="19"/>
      <c r="S43" s="19"/>
      <c r="T43" s="26"/>
      <c r="U43" s="19"/>
      <c r="V43" s="19"/>
      <c r="W43" s="26"/>
      <c r="X43" s="19"/>
      <c r="Y43" s="19"/>
      <c r="Z43" s="26"/>
      <c r="AA43" s="19"/>
      <c r="AB43" s="19"/>
      <c r="AC43" s="26"/>
      <c r="AD43" s="19"/>
      <c r="AE43" s="19"/>
      <c r="AF43" s="26"/>
      <c r="AG43" s="19"/>
      <c r="AH43" s="19"/>
      <c r="AI43" s="26"/>
      <c r="AJ43" s="19"/>
      <c r="AK43" s="19"/>
      <c r="AL43" s="26"/>
      <c r="AM43" s="19"/>
      <c r="AN43" s="19"/>
      <c r="AO43" s="26"/>
    </row>
    <row r="44" spans="1:41" x14ac:dyDescent="0.3">
      <c r="A44" s="19"/>
      <c r="B44" s="27" t="s">
        <v>12</v>
      </c>
      <c r="C44" s="19">
        <f>COUNTIF('C+8 Data'!$R:$R,"&lt;&gt;" &amp; "")-1</f>
        <v>1</v>
      </c>
      <c r="D44" s="19">
        <f t="shared" si="10"/>
        <v>1</v>
      </c>
      <c r="E44" s="26">
        <f t="shared" si="11"/>
        <v>1</v>
      </c>
      <c r="F44" s="19">
        <f>COUNTIFS('C+8 Data'!$AB:$AB,F$1,'C+8 Data'!$R:$R,"&lt;&gt;" &amp; "")</f>
        <v>0</v>
      </c>
      <c r="G44" s="19">
        <f>COUNTIFS('C+8 Data'!$AB:$AB,F$1,'C+8 Data'!$R:$R,$B44)</f>
        <v>0</v>
      </c>
      <c r="H44" s="26" t="str">
        <f t="shared" si="12"/>
        <v/>
      </c>
      <c r="I44" s="19">
        <f>COUNTIFS('C+8 Data'!$AB:$AB,I$1,'C+8 Data'!$R:$R,"&lt;&gt;" &amp; "")</f>
        <v>1</v>
      </c>
      <c r="J44" s="19">
        <f>COUNTIFS('C+8 Data'!$AB:$AB,I$1,'C+8 Data'!$R:$R,$B44)</f>
        <v>1</v>
      </c>
      <c r="K44" s="26">
        <f t="shared" ref="K44:K45" si="188">IF(I44 &lt;&gt; 0,J44/I44,"")</f>
        <v>1</v>
      </c>
      <c r="L44" s="19">
        <f>COUNTIFS('C+8 Data'!$AB:$AB,L$1,'C+8 Data'!$R:$R,"&lt;&gt;" &amp; "")</f>
        <v>0</v>
      </c>
      <c r="M44" s="19">
        <f>COUNTIFS('C+8 Data'!$AB:$AB,L$1,'C+8 Data'!$R:$R,$B44)</f>
        <v>0</v>
      </c>
      <c r="N44" s="26" t="str">
        <f t="shared" ref="N44:N45" si="189">IF(L44 &lt;&gt; 0,M44/L44,"")</f>
        <v/>
      </c>
      <c r="O44" s="19">
        <f>COUNTIFS('C+8 Data'!$AB:$AB,O$1,'C+8 Data'!$R:$R,"&lt;&gt;" &amp; "")</f>
        <v>0</v>
      </c>
      <c r="P44" s="19">
        <f>COUNTIFS('C+8 Data'!$AB:$AB,O$1,'C+8 Data'!$R:$R,$B44)</f>
        <v>0</v>
      </c>
      <c r="Q44" s="26" t="str">
        <f t="shared" ref="Q44:Q45" si="190">IF(O44 &lt;&gt; 0,P44/O44,"")</f>
        <v/>
      </c>
      <c r="R44" s="19">
        <f>COUNTIFS('C+8 Data'!$AB:$AB,R$1,'C+8 Data'!$R:$R,"&lt;&gt;" &amp; "")</f>
        <v>0</v>
      </c>
      <c r="S44" s="19">
        <f>COUNTIFS('C+8 Data'!$AB:$AB,R$1,'C+8 Data'!$R:$R,$B44)</f>
        <v>0</v>
      </c>
      <c r="T44" s="26" t="str">
        <f t="shared" ref="T44:T45" si="191">IF(R44 &lt;&gt; 0,S44/R44,"")</f>
        <v/>
      </c>
      <c r="U44" s="19">
        <f>COUNTIFS('C+8 Data'!$AB:$AB,U$1,'C+8 Data'!$R:$R,"&lt;&gt;" &amp; "")</f>
        <v>0</v>
      </c>
      <c r="V44" s="19">
        <f>COUNTIFS('C+8 Data'!$AB:$AB,U$1,'C+8 Data'!$R:$R,$B44)</f>
        <v>0</v>
      </c>
      <c r="W44" s="26" t="str">
        <f t="shared" ref="W44:W45" si="192">IF(U44 &lt;&gt; 0,V44/U44,"")</f>
        <v/>
      </c>
      <c r="X44" s="19">
        <f>COUNTIFS('C+8 Data'!$AB:$AB,X$1,'C+8 Data'!$R:$R,"&lt;&gt;" &amp; "")</f>
        <v>0</v>
      </c>
      <c r="Y44" s="19">
        <f>COUNTIFS('C+8 Data'!$AB:$AB,X$1,'C+8 Data'!$R:$R,$B44)</f>
        <v>0</v>
      </c>
      <c r="Z44" s="26" t="str">
        <f t="shared" ref="Z44:Z45" si="193">IF(X44 &lt;&gt; 0,Y44/X44,"")</f>
        <v/>
      </c>
      <c r="AA44" s="19">
        <f>COUNTIFS('C+8 Data'!$AB:$AB,AA$1,'C+8 Data'!$R:$R,"&lt;&gt;" &amp; "")</f>
        <v>0</v>
      </c>
      <c r="AB44" s="19">
        <f>COUNTIFS('C+8 Data'!$AB:$AB,AA$1,'C+8 Data'!$R:$R,$B44)</f>
        <v>0</v>
      </c>
      <c r="AC44" s="26" t="str">
        <f t="shared" ref="AC44:AC45" si="194">IF(AA44 &lt;&gt; 0,AB44/AA44,"")</f>
        <v/>
      </c>
      <c r="AD44" s="19">
        <f>COUNTIFS('C+8 Data'!$AB:$AB,AD$1,'C+8 Data'!$R:$R,"&lt;&gt;" &amp; "")</f>
        <v>0</v>
      </c>
      <c r="AE44" s="19">
        <f>COUNTIFS('C+8 Data'!$AB:$AB,AD$1,'C+8 Data'!$R:$R,$B44)</f>
        <v>0</v>
      </c>
      <c r="AF44" s="26" t="str">
        <f t="shared" ref="AF44:AF45" si="195">IF(AD44 &lt;&gt; 0,AE44/AD44,"")</f>
        <v/>
      </c>
      <c r="AG44" s="19">
        <f>COUNTIFS('C+8 Data'!$AB:$AB,AG$1,'C+8 Data'!$R:$R,"&lt;&gt;" &amp; "")</f>
        <v>0</v>
      </c>
      <c r="AH44" s="19">
        <f>COUNTIFS('C+8 Data'!$AB:$AB,AG$1,'C+8 Data'!$R:$R,$B44)</f>
        <v>0</v>
      </c>
      <c r="AI44" s="26" t="str">
        <f t="shared" ref="AI44:AI45" si="196">IF(AG44 &lt;&gt; 0,AH44/AG44,"")</f>
        <v/>
      </c>
      <c r="AJ44" s="19">
        <f>COUNTIFS('C+8 Data'!$AB:$AB,AJ$1,'C+8 Data'!$R:$R,"&lt;&gt;" &amp; "")</f>
        <v>0</v>
      </c>
      <c r="AK44" s="19">
        <f>COUNTIFS('C+8 Data'!$AB:$AB,AJ$1,'C+8 Data'!$R:$R,$B44)</f>
        <v>0</v>
      </c>
      <c r="AL44" s="26" t="str">
        <f t="shared" ref="AL44:AL45" si="197">IF(AJ44 &lt;&gt; 0,AK44/AJ44,"")</f>
        <v/>
      </c>
      <c r="AM44" s="19">
        <f>COUNTIFS('C+8 Data'!$AB:$AB,AM$1,'C+8 Data'!$R:$R,"&lt;&gt;" &amp; "")</f>
        <v>0</v>
      </c>
      <c r="AN44" s="19">
        <f>COUNTIFS('C+8 Data'!$AB:$AB,AM$1,'C+8 Data'!$R:$R,$B44)</f>
        <v>0</v>
      </c>
      <c r="AO44" s="26" t="str">
        <f t="shared" ref="AO44:AO45" si="198">IF(AM44 &lt;&gt; 0,AN44/AM44,"")</f>
        <v/>
      </c>
    </row>
    <row r="45" spans="1:41" x14ac:dyDescent="0.3">
      <c r="A45" s="19"/>
      <c r="B45" s="27" t="s">
        <v>13</v>
      </c>
      <c r="C45" s="24">
        <f>C44</f>
        <v>1</v>
      </c>
      <c r="D45" s="19">
        <f t="shared" si="10"/>
        <v>0</v>
      </c>
      <c r="E45" s="26">
        <f t="shared" si="11"/>
        <v>0</v>
      </c>
      <c r="F45" s="19">
        <f t="shared" ref="F45" si="199">F44</f>
        <v>0</v>
      </c>
      <c r="G45" s="19">
        <f>COUNTIFS('C+8 Data'!$AB:$AB,F$1,'C+8 Data'!$R:$R,$B45)</f>
        <v>0</v>
      </c>
      <c r="H45" s="26" t="str">
        <f t="shared" si="12"/>
        <v/>
      </c>
      <c r="I45" s="19">
        <f t="shared" ref="I45" si="200">I44</f>
        <v>1</v>
      </c>
      <c r="J45" s="19">
        <f>COUNTIFS('C+8 Data'!$AB:$AB,I$1,'C+8 Data'!$R:$R,$B45)</f>
        <v>0</v>
      </c>
      <c r="K45" s="26">
        <f t="shared" si="188"/>
        <v>0</v>
      </c>
      <c r="L45" s="19">
        <f t="shared" ref="L45" si="201">L44</f>
        <v>0</v>
      </c>
      <c r="M45" s="19">
        <f>COUNTIFS('C+8 Data'!$AB:$AB,L$1,'C+8 Data'!$R:$R,$B45)</f>
        <v>0</v>
      </c>
      <c r="N45" s="26" t="str">
        <f t="shared" si="189"/>
        <v/>
      </c>
      <c r="O45" s="19">
        <f t="shared" ref="O45" si="202">O44</f>
        <v>0</v>
      </c>
      <c r="P45" s="19">
        <f>COUNTIFS('C+8 Data'!$AB:$AB,O$1,'C+8 Data'!$R:$R,$B45)</f>
        <v>0</v>
      </c>
      <c r="Q45" s="26" t="str">
        <f t="shared" si="190"/>
        <v/>
      </c>
      <c r="R45" s="19">
        <f t="shared" ref="R45" si="203">R44</f>
        <v>0</v>
      </c>
      <c r="S45" s="19">
        <f>COUNTIFS('C+8 Data'!$AB:$AB,R$1,'C+8 Data'!$R:$R,$B45)</f>
        <v>0</v>
      </c>
      <c r="T45" s="26" t="str">
        <f t="shared" si="191"/>
        <v/>
      </c>
      <c r="U45" s="19">
        <f t="shared" ref="U45" si="204">U44</f>
        <v>0</v>
      </c>
      <c r="V45" s="19">
        <f>COUNTIFS('C+8 Data'!$AB:$AB,U$1,'C+8 Data'!$R:$R,$B45)</f>
        <v>0</v>
      </c>
      <c r="W45" s="26" t="str">
        <f t="shared" si="192"/>
        <v/>
      </c>
      <c r="X45" s="19">
        <f t="shared" ref="X45" si="205">X44</f>
        <v>0</v>
      </c>
      <c r="Y45" s="19">
        <f>COUNTIFS('C+8 Data'!$AB:$AB,X$1,'C+8 Data'!$R:$R,$B45)</f>
        <v>0</v>
      </c>
      <c r="Z45" s="26" t="str">
        <f t="shared" si="193"/>
        <v/>
      </c>
      <c r="AA45" s="19">
        <f t="shared" ref="AA45" si="206">AA44</f>
        <v>0</v>
      </c>
      <c r="AB45" s="19">
        <f>COUNTIFS('C+8 Data'!$AB:$AB,AA$1,'C+8 Data'!$R:$R,$B45)</f>
        <v>0</v>
      </c>
      <c r="AC45" s="26" t="str">
        <f t="shared" si="194"/>
        <v/>
      </c>
      <c r="AD45" s="19">
        <f t="shared" ref="AD45" si="207">AD44</f>
        <v>0</v>
      </c>
      <c r="AE45" s="19">
        <f>COUNTIFS('C+8 Data'!$AB:$AB,AD$1,'C+8 Data'!$R:$R,$B45)</f>
        <v>0</v>
      </c>
      <c r="AF45" s="26" t="str">
        <f t="shared" si="195"/>
        <v/>
      </c>
      <c r="AG45" s="19">
        <f t="shared" ref="AG45" si="208">AG44</f>
        <v>0</v>
      </c>
      <c r="AH45" s="19">
        <f>COUNTIFS('C+8 Data'!$AB:$AB,AG$1,'C+8 Data'!$R:$R,$B45)</f>
        <v>0</v>
      </c>
      <c r="AI45" s="26" t="str">
        <f t="shared" si="196"/>
        <v/>
      </c>
      <c r="AJ45" s="19">
        <f t="shared" ref="AJ45" si="209">AJ44</f>
        <v>0</v>
      </c>
      <c r="AK45" s="19">
        <f>COUNTIFS('C+8 Data'!$AB:$AB,AJ$1,'C+8 Data'!$R:$R,$B45)</f>
        <v>0</v>
      </c>
      <c r="AL45" s="26" t="str">
        <f t="shared" si="197"/>
        <v/>
      </c>
      <c r="AM45" s="19">
        <f t="shared" ref="AM45" si="210">AM44</f>
        <v>0</v>
      </c>
      <c r="AN45" s="19">
        <f>COUNTIFS('C+8 Data'!$AB:$AB,AM$1,'C+8 Data'!$R:$R,$B45)</f>
        <v>0</v>
      </c>
      <c r="AO45" s="26" t="str">
        <f t="shared" si="198"/>
        <v/>
      </c>
    </row>
    <row r="46" spans="1:41" x14ac:dyDescent="0.3">
      <c r="A46" s="24">
        <v>7.4</v>
      </c>
      <c r="B46" s="29" t="s">
        <v>18</v>
      </c>
      <c r="C46" s="19"/>
      <c r="D46" s="19"/>
      <c r="E46" s="26"/>
      <c r="F46" s="19"/>
      <c r="G46" s="19"/>
      <c r="H46" s="26"/>
      <c r="I46" s="19"/>
      <c r="J46" s="19"/>
      <c r="K46" s="26"/>
      <c r="L46" s="19"/>
      <c r="M46" s="19"/>
      <c r="N46" s="26"/>
      <c r="O46" s="19"/>
      <c r="P46" s="19"/>
      <c r="Q46" s="26"/>
      <c r="R46" s="19"/>
      <c r="S46" s="19"/>
      <c r="T46" s="26"/>
      <c r="U46" s="19"/>
      <c r="V46" s="19"/>
      <c r="W46" s="26"/>
      <c r="X46" s="19"/>
      <c r="Y46" s="19"/>
      <c r="Z46" s="26"/>
      <c r="AA46" s="19"/>
      <c r="AB46" s="19"/>
      <c r="AC46" s="26"/>
      <c r="AD46" s="19"/>
      <c r="AE46" s="19"/>
      <c r="AF46" s="26"/>
      <c r="AG46" s="19"/>
      <c r="AH46" s="19"/>
      <c r="AI46" s="26"/>
      <c r="AJ46" s="19"/>
      <c r="AK46" s="19"/>
      <c r="AL46" s="26"/>
      <c r="AM46" s="19"/>
      <c r="AN46" s="19"/>
      <c r="AO46" s="26"/>
    </row>
    <row r="47" spans="1:41" x14ac:dyDescent="0.3">
      <c r="A47" s="19"/>
      <c r="B47" s="27" t="s">
        <v>12</v>
      </c>
      <c r="C47" s="19">
        <f>COUNTIF('C+8 Data'!$S:$S,"&lt;&gt;" &amp; "")-1</f>
        <v>1</v>
      </c>
      <c r="D47" s="19">
        <f t="shared" si="10"/>
        <v>1</v>
      </c>
      <c r="E47" s="26">
        <f t="shared" si="11"/>
        <v>1</v>
      </c>
      <c r="F47" s="19">
        <f>COUNTIFS('C+8 Data'!$AB:$AB,F$1,'C+8 Data'!$S:$S,"&lt;&gt;" &amp; "")</f>
        <v>0</v>
      </c>
      <c r="G47" s="19">
        <f>COUNTIFS('C+8 Data'!$AB:$AB,F$1,'C+8 Data'!$S:$S,$B47)</f>
        <v>0</v>
      </c>
      <c r="H47" s="26" t="str">
        <f t="shared" si="12"/>
        <v/>
      </c>
      <c r="I47" s="19">
        <f>COUNTIFS('C+8 Data'!$AB:$AB,I$1,'C+8 Data'!$S:$S,"&lt;&gt;" &amp; "")</f>
        <v>1</v>
      </c>
      <c r="J47" s="19">
        <f>COUNTIFS('C+8 Data'!$AB:$AB,I$1,'C+8 Data'!$S:$S,$B47)</f>
        <v>1</v>
      </c>
      <c r="K47" s="26">
        <f t="shared" ref="K47:K48" si="211">IF(I47 &lt;&gt; 0,J47/I47,"")</f>
        <v>1</v>
      </c>
      <c r="L47" s="19">
        <f>COUNTIFS('C+8 Data'!$AB:$AB,L$1,'C+8 Data'!$S:$S,"&lt;&gt;" &amp; "")</f>
        <v>0</v>
      </c>
      <c r="M47" s="19">
        <f>COUNTIFS('C+8 Data'!$AB:$AB,L$1,'C+8 Data'!$S:$S,$B47)</f>
        <v>0</v>
      </c>
      <c r="N47" s="26" t="str">
        <f t="shared" ref="N47:N48" si="212">IF(L47 &lt;&gt; 0,M47/L47,"")</f>
        <v/>
      </c>
      <c r="O47" s="19">
        <f>COUNTIFS('C+8 Data'!$AB:$AB,O$1,'C+8 Data'!$S:$S,"&lt;&gt;" &amp; "")</f>
        <v>0</v>
      </c>
      <c r="P47" s="19">
        <f>COUNTIFS('C+8 Data'!$AB:$AB,O$1,'C+8 Data'!$S:$S,$B47)</f>
        <v>0</v>
      </c>
      <c r="Q47" s="26" t="str">
        <f t="shared" ref="Q47:Q48" si="213">IF(O47 &lt;&gt; 0,P47/O47,"")</f>
        <v/>
      </c>
      <c r="R47" s="19">
        <f>COUNTIFS('C+8 Data'!$AB:$AB,R$1,'C+8 Data'!$S:$S,"&lt;&gt;" &amp; "")</f>
        <v>0</v>
      </c>
      <c r="S47" s="19">
        <f>COUNTIFS('C+8 Data'!$AB:$AB,R$1,'C+8 Data'!$S:$S,$B47)</f>
        <v>0</v>
      </c>
      <c r="T47" s="26" t="str">
        <f t="shared" ref="T47:T48" si="214">IF(R47 &lt;&gt; 0,S47/R47,"")</f>
        <v/>
      </c>
      <c r="U47" s="19">
        <f>COUNTIFS('C+8 Data'!$AB:$AB,U$1,'C+8 Data'!$S:$S,"&lt;&gt;" &amp; "")</f>
        <v>0</v>
      </c>
      <c r="V47" s="19">
        <f>COUNTIFS('C+8 Data'!$AB:$AB,U$1,'C+8 Data'!$S:$S,$B47)</f>
        <v>0</v>
      </c>
      <c r="W47" s="26" t="str">
        <f t="shared" ref="W47:W48" si="215">IF(U47 &lt;&gt; 0,V47/U47,"")</f>
        <v/>
      </c>
      <c r="X47" s="19">
        <f>COUNTIFS('C+8 Data'!$AB:$AB,X$1,'C+8 Data'!$S:$S,"&lt;&gt;" &amp; "")</f>
        <v>0</v>
      </c>
      <c r="Y47" s="19">
        <f>COUNTIFS('C+8 Data'!$AB:$AB,X$1,'C+8 Data'!$S:$S,$B47)</f>
        <v>0</v>
      </c>
      <c r="Z47" s="26" t="str">
        <f t="shared" ref="Z47:Z48" si="216">IF(X47 &lt;&gt; 0,Y47/X47,"")</f>
        <v/>
      </c>
      <c r="AA47" s="19">
        <f>COUNTIFS('C+8 Data'!$AB:$AB,AA$1,'C+8 Data'!$S:$S,"&lt;&gt;" &amp; "")</f>
        <v>0</v>
      </c>
      <c r="AB47" s="19">
        <f>COUNTIFS('C+8 Data'!$AB:$AB,AA$1,'C+8 Data'!$S:$S,$B47)</f>
        <v>0</v>
      </c>
      <c r="AC47" s="26" t="str">
        <f t="shared" ref="AC47:AC48" si="217">IF(AA47 &lt;&gt; 0,AB47/AA47,"")</f>
        <v/>
      </c>
      <c r="AD47" s="19">
        <f>COUNTIFS('C+8 Data'!$AB:$AB,AD$1,'C+8 Data'!$S:$S,"&lt;&gt;" &amp; "")</f>
        <v>0</v>
      </c>
      <c r="AE47" s="19">
        <f>COUNTIFS('C+8 Data'!$AB:$AB,AD$1,'C+8 Data'!$S:$S,$B47)</f>
        <v>0</v>
      </c>
      <c r="AF47" s="26" t="str">
        <f t="shared" ref="AF47:AF48" si="218">IF(AD47 &lt;&gt; 0,AE47/AD47,"")</f>
        <v/>
      </c>
      <c r="AG47" s="19">
        <f>COUNTIFS('C+8 Data'!$AB:$AB,AG$1,'C+8 Data'!$S:$S,"&lt;&gt;" &amp; "")</f>
        <v>0</v>
      </c>
      <c r="AH47" s="19">
        <f>COUNTIFS('C+8 Data'!$AB:$AB,AG$1,'C+8 Data'!$S:$S,$B47)</f>
        <v>0</v>
      </c>
      <c r="AI47" s="26" t="str">
        <f t="shared" ref="AI47:AI48" si="219">IF(AG47 &lt;&gt; 0,AH47/AG47,"")</f>
        <v/>
      </c>
      <c r="AJ47" s="19">
        <f>COUNTIFS('C+8 Data'!$AB:$AB,AJ$1,'C+8 Data'!$S:$S,"&lt;&gt;" &amp; "")</f>
        <v>0</v>
      </c>
      <c r="AK47" s="19">
        <f>COUNTIFS('C+8 Data'!$AB:$AB,AJ$1,'C+8 Data'!$S:$S,$B47)</f>
        <v>0</v>
      </c>
      <c r="AL47" s="26" t="str">
        <f t="shared" ref="AL47:AL48" si="220">IF(AJ47 &lt;&gt; 0,AK47/AJ47,"")</f>
        <v/>
      </c>
      <c r="AM47" s="19">
        <f>COUNTIFS('C+8 Data'!$AB:$AB,AM$1,'C+8 Data'!$S:$S,"&lt;&gt;" &amp; "")</f>
        <v>0</v>
      </c>
      <c r="AN47" s="19">
        <f>COUNTIFS('C+8 Data'!$AB:$AB,AM$1,'C+8 Data'!$S:$S,$B47)</f>
        <v>0</v>
      </c>
      <c r="AO47" s="26" t="str">
        <f t="shared" ref="AO47:AO48" si="221">IF(AM47 &lt;&gt; 0,AN47/AM47,"")</f>
        <v/>
      </c>
    </row>
    <row r="48" spans="1:41" x14ac:dyDescent="0.3">
      <c r="A48" s="19"/>
      <c r="B48" s="27" t="s">
        <v>13</v>
      </c>
      <c r="C48" s="24">
        <f>C47</f>
        <v>1</v>
      </c>
      <c r="D48" s="19">
        <f t="shared" si="10"/>
        <v>0</v>
      </c>
      <c r="E48" s="26">
        <f t="shared" si="11"/>
        <v>0</v>
      </c>
      <c r="F48" s="19">
        <f t="shared" ref="F48" si="222">F47</f>
        <v>0</v>
      </c>
      <c r="G48" s="19">
        <f>COUNTIFS('C+8 Data'!$AB:$AB,F$1,'C+8 Data'!$S:$S,$B48)</f>
        <v>0</v>
      </c>
      <c r="H48" s="26" t="str">
        <f t="shared" si="12"/>
        <v/>
      </c>
      <c r="I48" s="19">
        <f t="shared" ref="I48" si="223">I47</f>
        <v>1</v>
      </c>
      <c r="J48" s="19">
        <f>COUNTIFS('C+8 Data'!$AB:$AB,I$1,'C+8 Data'!$S:$S,$B48)</f>
        <v>0</v>
      </c>
      <c r="K48" s="26">
        <f t="shared" si="211"/>
        <v>0</v>
      </c>
      <c r="L48" s="19">
        <f t="shared" ref="L48" si="224">L47</f>
        <v>0</v>
      </c>
      <c r="M48" s="19">
        <f>COUNTIFS('C+8 Data'!$AB:$AB,L$1,'C+8 Data'!$S:$S,$B48)</f>
        <v>0</v>
      </c>
      <c r="N48" s="26" t="str">
        <f t="shared" si="212"/>
        <v/>
      </c>
      <c r="O48" s="19">
        <f t="shared" ref="O48" si="225">O47</f>
        <v>0</v>
      </c>
      <c r="P48" s="19">
        <f>COUNTIFS('C+8 Data'!$AB:$AB,O$1,'C+8 Data'!$S:$S,$B48)</f>
        <v>0</v>
      </c>
      <c r="Q48" s="26" t="str">
        <f t="shared" si="213"/>
        <v/>
      </c>
      <c r="R48" s="19">
        <f t="shared" ref="R48" si="226">R47</f>
        <v>0</v>
      </c>
      <c r="S48" s="19">
        <f>COUNTIFS('C+8 Data'!$AB:$AB,R$1,'C+8 Data'!$S:$S,$B48)</f>
        <v>0</v>
      </c>
      <c r="T48" s="26" t="str">
        <f t="shared" si="214"/>
        <v/>
      </c>
      <c r="U48" s="19">
        <f t="shared" ref="U48" si="227">U47</f>
        <v>0</v>
      </c>
      <c r="V48" s="19">
        <f>COUNTIFS('C+8 Data'!$AB:$AB,U$1,'C+8 Data'!$S:$S,$B48)</f>
        <v>0</v>
      </c>
      <c r="W48" s="26" t="str">
        <f t="shared" si="215"/>
        <v/>
      </c>
      <c r="X48" s="19">
        <f t="shared" ref="X48" si="228">X47</f>
        <v>0</v>
      </c>
      <c r="Y48" s="19">
        <f>COUNTIFS('C+8 Data'!$AB:$AB,X$1,'C+8 Data'!$S:$S,$B48)</f>
        <v>0</v>
      </c>
      <c r="Z48" s="26" t="str">
        <f t="shared" si="216"/>
        <v/>
      </c>
      <c r="AA48" s="19">
        <f t="shared" ref="AA48" si="229">AA47</f>
        <v>0</v>
      </c>
      <c r="AB48" s="19">
        <f>COUNTIFS('C+8 Data'!$AB:$AB,AA$1,'C+8 Data'!$S:$S,$B48)</f>
        <v>0</v>
      </c>
      <c r="AC48" s="26" t="str">
        <f t="shared" si="217"/>
        <v/>
      </c>
      <c r="AD48" s="19">
        <f t="shared" ref="AD48" si="230">AD47</f>
        <v>0</v>
      </c>
      <c r="AE48" s="19">
        <f>COUNTIFS('C+8 Data'!$AB:$AB,AD$1,'C+8 Data'!$S:$S,$B48)</f>
        <v>0</v>
      </c>
      <c r="AF48" s="26" t="str">
        <f t="shared" si="218"/>
        <v/>
      </c>
      <c r="AG48" s="19">
        <f t="shared" ref="AG48" si="231">AG47</f>
        <v>0</v>
      </c>
      <c r="AH48" s="19">
        <f>COUNTIFS('C+8 Data'!$AB:$AB,AG$1,'C+8 Data'!$S:$S,$B48)</f>
        <v>0</v>
      </c>
      <c r="AI48" s="26" t="str">
        <f t="shared" si="219"/>
        <v/>
      </c>
      <c r="AJ48" s="19">
        <f t="shared" ref="AJ48" si="232">AJ47</f>
        <v>0</v>
      </c>
      <c r="AK48" s="19">
        <f>COUNTIFS('C+8 Data'!$AB:$AB,AJ$1,'C+8 Data'!$S:$S,$B48)</f>
        <v>0</v>
      </c>
      <c r="AL48" s="26" t="str">
        <f t="shared" si="220"/>
        <v/>
      </c>
      <c r="AM48" s="19">
        <f t="shared" ref="AM48" si="233">AM47</f>
        <v>0</v>
      </c>
      <c r="AN48" s="19">
        <f>COUNTIFS('C+8 Data'!$AB:$AB,AM$1,'C+8 Data'!$S:$S,$B48)</f>
        <v>0</v>
      </c>
      <c r="AO48" s="26" t="str">
        <f t="shared" si="221"/>
        <v/>
      </c>
    </row>
    <row r="49" spans="1:41" x14ac:dyDescent="0.3">
      <c r="A49" s="19">
        <v>7.5</v>
      </c>
      <c r="B49" s="29" t="s">
        <v>19</v>
      </c>
      <c r="C49" s="24"/>
      <c r="D49" s="19"/>
      <c r="E49" s="26"/>
      <c r="F49" s="24"/>
      <c r="G49" s="24"/>
      <c r="H49" s="26"/>
      <c r="I49" s="24"/>
      <c r="J49" s="24"/>
      <c r="K49" s="26"/>
      <c r="L49" s="24"/>
      <c r="M49" s="24"/>
      <c r="N49" s="26"/>
      <c r="O49" s="24"/>
      <c r="P49" s="24"/>
      <c r="Q49" s="26"/>
      <c r="R49" s="24"/>
      <c r="S49" s="24"/>
      <c r="T49" s="26"/>
      <c r="U49" s="24"/>
      <c r="V49" s="24"/>
      <c r="W49" s="26"/>
      <c r="X49" s="24"/>
      <c r="Y49" s="24"/>
      <c r="Z49" s="26"/>
      <c r="AA49" s="24"/>
      <c r="AB49" s="24"/>
      <c r="AC49" s="26"/>
      <c r="AD49" s="24"/>
      <c r="AE49" s="24"/>
      <c r="AF49" s="26"/>
      <c r="AG49" s="24"/>
      <c r="AH49" s="24"/>
      <c r="AI49" s="26"/>
      <c r="AJ49" s="24"/>
      <c r="AK49" s="24"/>
      <c r="AL49" s="26"/>
      <c r="AM49" s="24"/>
      <c r="AN49" s="24"/>
      <c r="AO49" s="26"/>
    </row>
    <row r="50" spans="1:41" x14ac:dyDescent="0.3">
      <c r="A50" s="19"/>
      <c r="B50" s="27" t="s">
        <v>12</v>
      </c>
      <c r="C50" s="19">
        <f>COUNTIF('C+8 Data'!$T:$T,"&lt;&gt;" &amp; "")-1</f>
        <v>1</v>
      </c>
      <c r="D50" s="19">
        <f t="shared" si="10"/>
        <v>1</v>
      </c>
      <c r="E50" s="26">
        <f t="shared" si="11"/>
        <v>1</v>
      </c>
      <c r="F50" s="19">
        <f>COUNTIFS('C+8 Data'!$AB:$AB,F$1,'C+8 Data'!$T:$T,"&lt;&gt;" &amp; "")</f>
        <v>0</v>
      </c>
      <c r="G50" s="19">
        <f>COUNTIFS('C+8 Data'!$AB:$AB,F$1,'C+8 Data'!$T:$T,$B50)</f>
        <v>0</v>
      </c>
      <c r="H50" s="26" t="str">
        <f t="shared" si="12"/>
        <v/>
      </c>
      <c r="I50" s="19">
        <f>COUNTIFS('C+8 Data'!$AB:$AB,I$1,'C+8 Data'!$T:$T,"&lt;&gt;" &amp; "")</f>
        <v>1</v>
      </c>
      <c r="J50" s="19">
        <f>COUNTIFS('C+8 Data'!$AB:$AB,I$1,'C+8 Data'!$T:$T,$B50)</f>
        <v>1</v>
      </c>
      <c r="K50" s="26">
        <f t="shared" ref="K50:K51" si="234">IF(I50 &lt;&gt; 0,J50/I50,"")</f>
        <v>1</v>
      </c>
      <c r="L50" s="19">
        <f>COUNTIFS('C+8 Data'!$AB:$AB,L$1,'C+8 Data'!$T:$T,"&lt;&gt;" &amp; "")</f>
        <v>0</v>
      </c>
      <c r="M50" s="19">
        <f>COUNTIFS('C+8 Data'!$AB:$AB,L$1,'C+8 Data'!$T:$T,$B50)</f>
        <v>0</v>
      </c>
      <c r="N50" s="26" t="str">
        <f t="shared" ref="N50:N51" si="235">IF(L50 &lt;&gt; 0,M50/L50,"")</f>
        <v/>
      </c>
      <c r="O50" s="19">
        <f>COUNTIFS('C+8 Data'!$AB:$AB,O$1,'C+8 Data'!$T:$T,"&lt;&gt;" &amp; "")</f>
        <v>0</v>
      </c>
      <c r="P50" s="19">
        <f>COUNTIFS('C+8 Data'!$AB:$AB,O$1,'C+8 Data'!$T:$T,$B50)</f>
        <v>0</v>
      </c>
      <c r="Q50" s="26" t="str">
        <f t="shared" ref="Q50:Q51" si="236">IF(O50 &lt;&gt; 0,P50/O50,"")</f>
        <v/>
      </c>
      <c r="R50" s="19">
        <f>COUNTIFS('C+8 Data'!$AB:$AB,R$1,'C+8 Data'!$T:$T,"&lt;&gt;" &amp; "")</f>
        <v>0</v>
      </c>
      <c r="S50" s="19">
        <f>COUNTIFS('C+8 Data'!$AB:$AB,R$1,'C+8 Data'!$T:$T,$B50)</f>
        <v>0</v>
      </c>
      <c r="T50" s="26" t="str">
        <f t="shared" ref="T50:T51" si="237">IF(R50 &lt;&gt; 0,S50/R50,"")</f>
        <v/>
      </c>
      <c r="U50" s="19">
        <f>COUNTIFS('C+8 Data'!$AB:$AB,U$1,'C+8 Data'!$T:$T,"&lt;&gt;" &amp; "")</f>
        <v>0</v>
      </c>
      <c r="V50" s="19">
        <f>COUNTIFS('C+8 Data'!$AB:$AB,U$1,'C+8 Data'!$T:$T,$B50)</f>
        <v>0</v>
      </c>
      <c r="W50" s="26" t="str">
        <f t="shared" ref="W50:W51" si="238">IF(U50 &lt;&gt; 0,V50/U50,"")</f>
        <v/>
      </c>
      <c r="X50" s="19">
        <f>COUNTIFS('C+8 Data'!$AB:$AB,X$1,'C+8 Data'!$T:$T,"&lt;&gt;" &amp; "")</f>
        <v>0</v>
      </c>
      <c r="Y50" s="19">
        <f>COUNTIFS('C+8 Data'!$AB:$AB,X$1,'C+8 Data'!$T:$T,$B50)</f>
        <v>0</v>
      </c>
      <c r="Z50" s="26" t="str">
        <f t="shared" ref="Z50:Z51" si="239">IF(X50 &lt;&gt; 0,Y50/X50,"")</f>
        <v/>
      </c>
      <c r="AA50" s="19">
        <f>COUNTIFS('C+8 Data'!$AB:$AB,AA$1,'C+8 Data'!$T:$T,"&lt;&gt;" &amp; "")</f>
        <v>0</v>
      </c>
      <c r="AB50" s="19">
        <f>COUNTIFS('C+8 Data'!$AB:$AB,AA$1,'C+8 Data'!$T:$T,$B50)</f>
        <v>0</v>
      </c>
      <c r="AC50" s="26" t="str">
        <f t="shared" ref="AC50:AC51" si="240">IF(AA50 &lt;&gt; 0,AB50/AA50,"")</f>
        <v/>
      </c>
      <c r="AD50" s="19">
        <f>COUNTIFS('C+8 Data'!$AB:$AB,AD$1,'C+8 Data'!$T:$T,"&lt;&gt;" &amp; "")</f>
        <v>0</v>
      </c>
      <c r="AE50" s="19">
        <f>COUNTIFS('C+8 Data'!$AB:$AB,AD$1,'C+8 Data'!$T:$T,$B50)</f>
        <v>0</v>
      </c>
      <c r="AF50" s="26" t="str">
        <f t="shared" ref="AF50:AF51" si="241">IF(AD50 &lt;&gt; 0,AE50/AD50,"")</f>
        <v/>
      </c>
      <c r="AG50" s="19">
        <f>COUNTIFS('C+8 Data'!$AB:$AB,AG$1,'C+8 Data'!$T:$T,"&lt;&gt;" &amp; "")</f>
        <v>0</v>
      </c>
      <c r="AH50" s="19">
        <f>COUNTIFS('C+8 Data'!$AB:$AB,AG$1,'C+8 Data'!$T:$T,$B50)</f>
        <v>0</v>
      </c>
      <c r="AI50" s="26" t="str">
        <f t="shared" ref="AI50:AI51" si="242">IF(AG50 &lt;&gt; 0,AH50/AG50,"")</f>
        <v/>
      </c>
      <c r="AJ50" s="19">
        <f>COUNTIFS('C+8 Data'!$AB:$AB,AJ$1,'C+8 Data'!$T:$T,"&lt;&gt;" &amp; "")</f>
        <v>0</v>
      </c>
      <c r="AK50" s="19">
        <f>COUNTIFS('C+8 Data'!$AB:$AB,AJ$1,'C+8 Data'!$T:$T,$B50)</f>
        <v>0</v>
      </c>
      <c r="AL50" s="26" t="str">
        <f t="shared" ref="AL50:AL51" si="243">IF(AJ50 &lt;&gt; 0,AK50/AJ50,"")</f>
        <v/>
      </c>
      <c r="AM50" s="19">
        <f>COUNTIFS('C+8 Data'!$AB:$AB,AM$1,'C+8 Data'!$T:$T,"&lt;&gt;" &amp; "")</f>
        <v>0</v>
      </c>
      <c r="AN50" s="19">
        <f>COUNTIFS('C+8 Data'!$AB:$AB,AM$1,'C+8 Data'!$T:$T,$B50)</f>
        <v>0</v>
      </c>
      <c r="AO50" s="26" t="str">
        <f t="shared" ref="AO50:AO51" si="244">IF(AM50 &lt;&gt; 0,AN50/AM50,"")</f>
        <v/>
      </c>
    </row>
    <row r="51" spans="1:41" x14ac:dyDescent="0.3">
      <c r="A51" s="19"/>
      <c r="B51" s="27" t="s">
        <v>13</v>
      </c>
      <c r="C51" s="24">
        <f>C50</f>
        <v>1</v>
      </c>
      <c r="D51" s="19">
        <f t="shared" si="10"/>
        <v>0</v>
      </c>
      <c r="E51" s="26">
        <f t="shared" si="11"/>
        <v>0</v>
      </c>
      <c r="F51" s="19">
        <f t="shared" ref="F51" si="245">F50</f>
        <v>0</v>
      </c>
      <c r="G51" s="19">
        <f>COUNTIFS('C+8 Data'!$AB:$AB,F$1,'C+8 Data'!$T:$T,$B51)</f>
        <v>0</v>
      </c>
      <c r="H51" s="26" t="str">
        <f t="shared" si="12"/>
        <v/>
      </c>
      <c r="I51" s="19">
        <f t="shared" ref="I51" si="246">I50</f>
        <v>1</v>
      </c>
      <c r="J51" s="19">
        <f>COUNTIFS('C+8 Data'!$AB:$AB,I$1,'C+8 Data'!$T:$T,$B51)</f>
        <v>0</v>
      </c>
      <c r="K51" s="26">
        <f t="shared" si="234"/>
        <v>0</v>
      </c>
      <c r="L51" s="19">
        <f t="shared" ref="L51" si="247">L50</f>
        <v>0</v>
      </c>
      <c r="M51" s="19">
        <f>COUNTIFS('C+8 Data'!$AB:$AB,L$1,'C+8 Data'!$T:$T,$B51)</f>
        <v>0</v>
      </c>
      <c r="N51" s="26" t="str">
        <f t="shared" si="235"/>
        <v/>
      </c>
      <c r="O51" s="19">
        <f t="shared" ref="O51" si="248">O50</f>
        <v>0</v>
      </c>
      <c r="P51" s="19">
        <f>COUNTIFS('C+8 Data'!$AB:$AB,O$1,'C+8 Data'!$T:$T,$B51)</f>
        <v>0</v>
      </c>
      <c r="Q51" s="26" t="str">
        <f t="shared" si="236"/>
        <v/>
      </c>
      <c r="R51" s="19">
        <f t="shared" ref="R51" si="249">R50</f>
        <v>0</v>
      </c>
      <c r="S51" s="19">
        <f>COUNTIFS('C+8 Data'!$AB:$AB,R$1,'C+8 Data'!$T:$T,$B51)</f>
        <v>0</v>
      </c>
      <c r="T51" s="26" t="str">
        <f t="shared" si="237"/>
        <v/>
      </c>
      <c r="U51" s="19">
        <f t="shared" ref="U51" si="250">U50</f>
        <v>0</v>
      </c>
      <c r="V51" s="19">
        <f>COUNTIFS('C+8 Data'!$AB:$AB,U$1,'C+8 Data'!$T:$T,$B51)</f>
        <v>0</v>
      </c>
      <c r="W51" s="26" t="str">
        <f t="shared" si="238"/>
        <v/>
      </c>
      <c r="X51" s="19">
        <f t="shared" ref="X51" si="251">X50</f>
        <v>0</v>
      </c>
      <c r="Y51" s="19">
        <f>COUNTIFS('C+8 Data'!$AB:$AB,X$1,'C+8 Data'!$T:$T,$B51)</f>
        <v>0</v>
      </c>
      <c r="Z51" s="26" t="str">
        <f t="shared" si="239"/>
        <v/>
      </c>
      <c r="AA51" s="19">
        <f t="shared" ref="AA51" si="252">AA50</f>
        <v>0</v>
      </c>
      <c r="AB51" s="19">
        <f>COUNTIFS('C+8 Data'!$AB:$AB,AA$1,'C+8 Data'!$T:$T,$B51)</f>
        <v>0</v>
      </c>
      <c r="AC51" s="26" t="str">
        <f t="shared" si="240"/>
        <v/>
      </c>
      <c r="AD51" s="19">
        <f t="shared" ref="AD51" si="253">AD50</f>
        <v>0</v>
      </c>
      <c r="AE51" s="19">
        <f>COUNTIFS('C+8 Data'!$AB:$AB,AD$1,'C+8 Data'!$T:$T,$B51)</f>
        <v>0</v>
      </c>
      <c r="AF51" s="26" t="str">
        <f t="shared" si="241"/>
        <v/>
      </c>
      <c r="AG51" s="19">
        <f t="shared" ref="AG51" si="254">AG50</f>
        <v>0</v>
      </c>
      <c r="AH51" s="19">
        <f>COUNTIFS('C+8 Data'!$AB:$AB,AG$1,'C+8 Data'!$T:$T,$B51)</f>
        <v>0</v>
      </c>
      <c r="AI51" s="26" t="str">
        <f t="shared" si="242"/>
        <v/>
      </c>
      <c r="AJ51" s="19">
        <f t="shared" ref="AJ51" si="255">AJ50</f>
        <v>0</v>
      </c>
      <c r="AK51" s="19">
        <f>COUNTIFS('C+8 Data'!$AB:$AB,AJ$1,'C+8 Data'!$T:$T,$B51)</f>
        <v>0</v>
      </c>
      <c r="AL51" s="26" t="str">
        <f t="shared" si="243"/>
        <v/>
      </c>
      <c r="AM51" s="19">
        <f t="shared" ref="AM51" si="256">AM50</f>
        <v>0</v>
      </c>
      <c r="AN51" s="19">
        <f>COUNTIFS('C+8 Data'!$AB:$AB,AM$1,'C+8 Data'!$T:$T,$B51)</f>
        <v>0</v>
      </c>
      <c r="AO51" s="26" t="str">
        <f t="shared" si="244"/>
        <v/>
      </c>
    </row>
    <row r="52" spans="1:41" x14ac:dyDescent="0.3">
      <c r="A52" s="24">
        <v>7.6</v>
      </c>
      <c r="B52" s="29" t="s">
        <v>20</v>
      </c>
      <c r="C52" s="19"/>
      <c r="D52" s="19"/>
      <c r="E52" s="26"/>
      <c r="F52" s="19"/>
      <c r="G52" s="24"/>
      <c r="H52" s="26"/>
      <c r="I52" s="19"/>
      <c r="J52" s="24"/>
      <c r="K52" s="26"/>
      <c r="L52" s="19"/>
      <c r="M52" s="24"/>
      <c r="N52" s="26"/>
      <c r="O52" s="19"/>
      <c r="P52" s="24"/>
      <c r="Q52" s="26"/>
      <c r="R52" s="19"/>
      <c r="S52" s="24"/>
      <c r="T52" s="26"/>
      <c r="U52" s="19"/>
      <c r="V52" s="24"/>
      <c r="W52" s="26"/>
      <c r="X52" s="19"/>
      <c r="Y52" s="24"/>
      <c r="Z52" s="26"/>
      <c r="AA52" s="19"/>
      <c r="AB52" s="24"/>
      <c r="AC52" s="26"/>
      <c r="AD52" s="19"/>
      <c r="AE52" s="24"/>
      <c r="AF52" s="26"/>
      <c r="AG52" s="19"/>
      <c r="AH52" s="24"/>
      <c r="AI52" s="26"/>
      <c r="AJ52" s="19"/>
      <c r="AK52" s="24"/>
      <c r="AL52" s="26"/>
      <c r="AM52" s="19"/>
      <c r="AN52" s="24"/>
      <c r="AO52" s="26"/>
    </row>
    <row r="53" spans="1:41" x14ac:dyDescent="0.3">
      <c r="A53" s="19"/>
      <c r="B53" s="27" t="s">
        <v>12</v>
      </c>
      <c r="C53" s="19">
        <f>COUNTIF('C+8 Data'!$U:$U,"&lt;&gt;" &amp; "")-1</f>
        <v>1</v>
      </c>
      <c r="D53" s="19">
        <f t="shared" si="10"/>
        <v>1</v>
      </c>
      <c r="E53" s="26">
        <f t="shared" si="11"/>
        <v>1</v>
      </c>
      <c r="F53" s="19">
        <f>COUNTIFS('C+8 Data'!$AB:$AB,F$1,'C+8 Data'!$U:$U,"&lt;&gt;" &amp; "")</f>
        <v>0</v>
      </c>
      <c r="G53" s="19">
        <f>COUNTIFS('C+8 Data'!$AB:$AB,F$1,'C+8 Data'!$U:$U,$B53)</f>
        <v>0</v>
      </c>
      <c r="H53" s="26" t="str">
        <f t="shared" si="12"/>
        <v/>
      </c>
      <c r="I53" s="19">
        <f>COUNTIFS('C+8 Data'!$AB:$AB,I$1,'C+8 Data'!$U:$U,"&lt;&gt;" &amp; "")</f>
        <v>1</v>
      </c>
      <c r="J53" s="19">
        <f>COUNTIFS('C+8 Data'!$AB:$AB,I$1,'C+8 Data'!$U:$U,$B53)</f>
        <v>1</v>
      </c>
      <c r="K53" s="26">
        <f t="shared" ref="K53:K54" si="257">IF(I53 &lt;&gt; 0,J53/I53,"")</f>
        <v>1</v>
      </c>
      <c r="L53" s="19">
        <f>COUNTIFS('C+8 Data'!$AB:$AB,L$1,'C+8 Data'!$U:$U,"&lt;&gt;" &amp; "")</f>
        <v>0</v>
      </c>
      <c r="M53" s="19">
        <f>COUNTIFS('C+8 Data'!$AB:$AB,L$1,'C+8 Data'!$U:$U,$B53)</f>
        <v>0</v>
      </c>
      <c r="N53" s="26" t="str">
        <f t="shared" ref="N53:N54" si="258">IF(L53 &lt;&gt; 0,M53/L53,"")</f>
        <v/>
      </c>
      <c r="O53" s="19">
        <f>COUNTIFS('C+8 Data'!$AB:$AB,O$1,'C+8 Data'!$U:$U,"&lt;&gt;" &amp; "")</f>
        <v>0</v>
      </c>
      <c r="P53" s="19">
        <f>COUNTIFS('C+8 Data'!$AB:$AB,O$1,'C+8 Data'!$U:$U,$B53)</f>
        <v>0</v>
      </c>
      <c r="Q53" s="26" t="str">
        <f t="shared" ref="Q53:Q54" si="259">IF(O53 &lt;&gt; 0,P53/O53,"")</f>
        <v/>
      </c>
      <c r="R53" s="19">
        <f>COUNTIFS('C+8 Data'!$AB:$AB,R$1,'C+8 Data'!$U:$U,"&lt;&gt;" &amp; "")</f>
        <v>0</v>
      </c>
      <c r="S53" s="19">
        <f>COUNTIFS('C+8 Data'!$AB:$AB,R$1,'C+8 Data'!$U:$U,$B53)</f>
        <v>0</v>
      </c>
      <c r="T53" s="26" t="str">
        <f t="shared" ref="T53:T54" si="260">IF(R53 &lt;&gt; 0,S53/R53,"")</f>
        <v/>
      </c>
      <c r="U53" s="19">
        <f>COUNTIFS('C+8 Data'!$AB:$AB,U$1,'C+8 Data'!$U:$U,"&lt;&gt;" &amp; "")</f>
        <v>0</v>
      </c>
      <c r="V53" s="19">
        <f>COUNTIFS('C+8 Data'!$AB:$AB,U$1,'C+8 Data'!$U:$U,$B53)</f>
        <v>0</v>
      </c>
      <c r="W53" s="26" t="str">
        <f t="shared" ref="W53:W54" si="261">IF(U53 &lt;&gt; 0,V53/U53,"")</f>
        <v/>
      </c>
      <c r="X53" s="19">
        <f>COUNTIFS('C+8 Data'!$AB:$AB,X$1,'C+8 Data'!$U:$U,"&lt;&gt;" &amp; "")</f>
        <v>0</v>
      </c>
      <c r="Y53" s="19">
        <f>COUNTIFS('C+8 Data'!$AB:$AB,X$1,'C+8 Data'!$U:$U,$B53)</f>
        <v>0</v>
      </c>
      <c r="Z53" s="26" t="str">
        <f t="shared" ref="Z53:Z54" si="262">IF(X53 &lt;&gt; 0,Y53/X53,"")</f>
        <v/>
      </c>
      <c r="AA53" s="19">
        <f>COUNTIFS('C+8 Data'!$AB:$AB,AA$1,'C+8 Data'!$U:$U,"&lt;&gt;" &amp; "")</f>
        <v>0</v>
      </c>
      <c r="AB53" s="19">
        <f>COUNTIFS('C+8 Data'!$AB:$AB,AA$1,'C+8 Data'!$U:$U,$B53)</f>
        <v>0</v>
      </c>
      <c r="AC53" s="26" t="str">
        <f t="shared" ref="AC53:AC54" si="263">IF(AA53 &lt;&gt; 0,AB53/AA53,"")</f>
        <v/>
      </c>
      <c r="AD53" s="19">
        <f>COUNTIFS('C+8 Data'!$AB:$AB,AD$1,'C+8 Data'!$U:$U,"&lt;&gt;" &amp; "")</f>
        <v>0</v>
      </c>
      <c r="AE53" s="19">
        <f>COUNTIFS('C+8 Data'!$AB:$AB,AD$1,'C+8 Data'!$U:$U,$B53)</f>
        <v>0</v>
      </c>
      <c r="AF53" s="26" t="str">
        <f t="shared" ref="AF53:AF54" si="264">IF(AD53 &lt;&gt; 0,AE53/AD53,"")</f>
        <v/>
      </c>
      <c r="AG53" s="19">
        <f>COUNTIFS('C+8 Data'!$AB:$AB,AG$1,'C+8 Data'!$U:$U,"&lt;&gt;" &amp; "")</f>
        <v>0</v>
      </c>
      <c r="AH53" s="19">
        <f>COUNTIFS('C+8 Data'!$AB:$AB,AG$1,'C+8 Data'!$U:$U,$B53)</f>
        <v>0</v>
      </c>
      <c r="AI53" s="26" t="str">
        <f t="shared" ref="AI53:AI54" si="265">IF(AG53 &lt;&gt; 0,AH53/AG53,"")</f>
        <v/>
      </c>
      <c r="AJ53" s="19">
        <f>COUNTIFS('C+8 Data'!$AB:$AB,AJ$1,'C+8 Data'!$U:$U,"&lt;&gt;" &amp; "")</f>
        <v>0</v>
      </c>
      <c r="AK53" s="19">
        <f>COUNTIFS('C+8 Data'!$AB:$AB,AJ$1,'C+8 Data'!$U:$U,$B53)</f>
        <v>0</v>
      </c>
      <c r="AL53" s="26" t="str">
        <f t="shared" ref="AL53:AL54" si="266">IF(AJ53 &lt;&gt; 0,AK53/AJ53,"")</f>
        <v/>
      </c>
      <c r="AM53" s="19">
        <f>COUNTIFS('C+8 Data'!$AB:$AB,AM$1,'C+8 Data'!$U:$U,"&lt;&gt;" &amp; "")</f>
        <v>0</v>
      </c>
      <c r="AN53" s="19">
        <f>COUNTIFS('C+8 Data'!$AB:$AB,AM$1,'C+8 Data'!$U:$U,$B53)</f>
        <v>0</v>
      </c>
      <c r="AO53" s="26" t="str">
        <f t="shared" ref="AO53:AO54" si="267">IF(AM53 &lt;&gt; 0,AN53/AM53,"")</f>
        <v/>
      </c>
    </row>
    <row r="54" spans="1:41" x14ac:dyDescent="0.3">
      <c r="A54" s="19"/>
      <c r="B54" s="27" t="s">
        <v>13</v>
      </c>
      <c r="C54" s="24">
        <f>C53</f>
        <v>1</v>
      </c>
      <c r="D54" s="19">
        <f t="shared" si="10"/>
        <v>0</v>
      </c>
      <c r="E54" s="26">
        <f t="shared" si="11"/>
        <v>0</v>
      </c>
      <c r="F54" s="19">
        <f t="shared" ref="F54" si="268">F53</f>
        <v>0</v>
      </c>
      <c r="G54" s="19">
        <f>COUNTIFS('C+8 Data'!$AB:$AB,F$1,'C+8 Data'!$U:$U,$B54)</f>
        <v>0</v>
      </c>
      <c r="H54" s="26" t="str">
        <f t="shared" si="12"/>
        <v/>
      </c>
      <c r="I54" s="19">
        <f t="shared" ref="I54" si="269">I53</f>
        <v>1</v>
      </c>
      <c r="J54" s="19">
        <f>COUNTIFS('C+8 Data'!$AB:$AB,I$1,'C+8 Data'!$U:$U,$B54)</f>
        <v>0</v>
      </c>
      <c r="K54" s="26">
        <f t="shared" si="257"/>
        <v>0</v>
      </c>
      <c r="L54" s="19">
        <f t="shared" ref="L54" si="270">L53</f>
        <v>0</v>
      </c>
      <c r="M54" s="19">
        <f>COUNTIFS('C+8 Data'!$AB:$AB,L$1,'C+8 Data'!$U:$U,$B54)</f>
        <v>0</v>
      </c>
      <c r="N54" s="26" t="str">
        <f t="shared" si="258"/>
        <v/>
      </c>
      <c r="O54" s="19">
        <f t="shared" ref="O54" si="271">O53</f>
        <v>0</v>
      </c>
      <c r="P54" s="19">
        <f>COUNTIFS('C+8 Data'!$AB:$AB,O$1,'C+8 Data'!$U:$U,$B54)</f>
        <v>0</v>
      </c>
      <c r="Q54" s="26" t="str">
        <f t="shared" si="259"/>
        <v/>
      </c>
      <c r="R54" s="19">
        <f t="shared" ref="R54" si="272">R53</f>
        <v>0</v>
      </c>
      <c r="S54" s="19">
        <f>COUNTIFS('C+8 Data'!$AB:$AB,R$1,'C+8 Data'!$U:$U,$B54)</f>
        <v>0</v>
      </c>
      <c r="T54" s="26" t="str">
        <f t="shared" si="260"/>
        <v/>
      </c>
      <c r="U54" s="19">
        <f t="shared" ref="U54" si="273">U53</f>
        <v>0</v>
      </c>
      <c r="V54" s="19">
        <f>COUNTIFS('C+8 Data'!$AB:$AB,U$1,'C+8 Data'!$U:$U,$B54)</f>
        <v>0</v>
      </c>
      <c r="W54" s="26" t="str">
        <f t="shared" si="261"/>
        <v/>
      </c>
      <c r="X54" s="19">
        <f t="shared" ref="X54" si="274">X53</f>
        <v>0</v>
      </c>
      <c r="Y54" s="19">
        <f>COUNTIFS('C+8 Data'!$AB:$AB,X$1,'C+8 Data'!$U:$U,$B54)</f>
        <v>0</v>
      </c>
      <c r="Z54" s="26" t="str">
        <f t="shared" si="262"/>
        <v/>
      </c>
      <c r="AA54" s="19">
        <f t="shared" ref="AA54" si="275">AA53</f>
        <v>0</v>
      </c>
      <c r="AB54" s="19">
        <f>COUNTIFS('C+8 Data'!$AB:$AB,AA$1,'C+8 Data'!$U:$U,$B54)</f>
        <v>0</v>
      </c>
      <c r="AC54" s="26" t="str">
        <f t="shared" si="263"/>
        <v/>
      </c>
      <c r="AD54" s="19">
        <f t="shared" ref="AD54" si="276">AD53</f>
        <v>0</v>
      </c>
      <c r="AE54" s="19">
        <f>COUNTIFS('C+8 Data'!$AB:$AB,AD$1,'C+8 Data'!$U:$U,$B54)</f>
        <v>0</v>
      </c>
      <c r="AF54" s="26" t="str">
        <f t="shared" si="264"/>
        <v/>
      </c>
      <c r="AG54" s="19">
        <f t="shared" ref="AG54" si="277">AG53</f>
        <v>0</v>
      </c>
      <c r="AH54" s="19">
        <f>COUNTIFS('C+8 Data'!$AB:$AB,AG$1,'C+8 Data'!$U:$U,$B54)</f>
        <v>0</v>
      </c>
      <c r="AI54" s="26" t="str">
        <f t="shared" si="265"/>
        <v/>
      </c>
      <c r="AJ54" s="19">
        <f t="shared" ref="AJ54" si="278">AJ53</f>
        <v>0</v>
      </c>
      <c r="AK54" s="19">
        <f>COUNTIFS('C+8 Data'!$AB:$AB,AJ$1,'C+8 Data'!$U:$U,$B54)</f>
        <v>0</v>
      </c>
      <c r="AL54" s="26" t="str">
        <f t="shared" si="266"/>
        <v/>
      </c>
      <c r="AM54" s="19">
        <f t="shared" ref="AM54" si="279">AM53</f>
        <v>0</v>
      </c>
      <c r="AN54" s="19">
        <f>COUNTIFS('C+8 Data'!$AB:$AB,AM$1,'C+8 Data'!$U:$U,$B54)</f>
        <v>0</v>
      </c>
      <c r="AO54" s="26" t="str">
        <f t="shared" si="267"/>
        <v/>
      </c>
    </row>
    <row r="55" spans="1:41" x14ac:dyDescent="0.3">
      <c r="A55" s="24">
        <v>8</v>
      </c>
      <c r="B55" s="30" t="s">
        <v>6</v>
      </c>
      <c r="C55" s="19"/>
      <c r="D55" s="19"/>
      <c r="E55" s="26"/>
      <c r="F55" s="19"/>
      <c r="G55" s="19"/>
      <c r="H55" s="26"/>
      <c r="I55" s="19"/>
      <c r="J55" s="19"/>
      <c r="K55" s="26"/>
      <c r="L55" s="19"/>
      <c r="M55" s="19"/>
      <c r="N55" s="26"/>
      <c r="O55" s="19"/>
      <c r="P55" s="19"/>
      <c r="Q55" s="26"/>
      <c r="R55" s="19"/>
      <c r="S55" s="19"/>
      <c r="T55" s="26"/>
      <c r="U55" s="19"/>
      <c r="V55" s="19"/>
      <c r="W55" s="26"/>
      <c r="X55" s="19"/>
      <c r="Y55" s="19"/>
      <c r="Z55" s="26"/>
      <c r="AA55" s="19"/>
      <c r="AB55" s="19"/>
      <c r="AC55" s="26"/>
      <c r="AD55" s="19"/>
      <c r="AE55" s="19"/>
      <c r="AF55" s="26"/>
      <c r="AG55" s="19"/>
      <c r="AH55" s="19"/>
      <c r="AI55" s="26"/>
      <c r="AJ55" s="19"/>
      <c r="AK55" s="19"/>
      <c r="AL55" s="26"/>
      <c r="AM55" s="19"/>
      <c r="AN55" s="19"/>
      <c r="AO55" s="26"/>
    </row>
    <row r="56" spans="1:41" x14ac:dyDescent="0.3">
      <c r="A56" s="24"/>
      <c r="B56" s="25" t="s">
        <v>74</v>
      </c>
      <c r="C56" s="19">
        <f>COUNTIF('C+8 Data'!$V:$V,"&lt;&gt;" &amp; "")-1</f>
        <v>1</v>
      </c>
      <c r="D56" s="19">
        <f t="shared" si="10"/>
        <v>1</v>
      </c>
      <c r="E56" s="26">
        <f t="shared" si="11"/>
        <v>1</v>
      </c>
      <c r="F56" s="19">
        <f>COUNTIFS('C+8 Data'!$AB:$AB,F$1,'C+8 Data'!$V:$V,"&lt;&gt;" &amp; "")</f>
        <v>0</v>
      </c>
      <c r="G56" s="19">
        <f>COUNTIFS('C+8 Data'!$AB:$AB,F$1,'C+8 Data'!$V:$V,"Very satisfactory (100%)")</f>
        <v>0</v>
      </c>
      <c r="H56" s="26" t="str">
        <f t="shared" si="12"/>
        <v/>
      </c>
      <c r="I56" s="19">
        <f>COUNTIFS('C+8 Data'!$AB:$AB,I$1,'C+8 Data'!$V:$V,"&lt;&gt;" &amp; "")</f>
        <v>1</v>
      </c>
      <c r="J56" s="19">
        <f>COUNTIFS('C+8 Data'!$AB:$AB,I$1,'C+8 Data'!$V:$V,"Very satisfactory (100%)")</f>
        <v>1</v>
      </c>
      <c r="K56" s="26">
        <f t="shared" ref="K56:K60" si="280">IF(I56 &lt;&gt; 0,J56/I56,"")</f>
        <v>1</v>
      </c>
      <c r="L56" s="19">
        <f>COUNTIFS('C+8 Data'!$AB:$AB,L$1,'C+8 Data'!$V:$V,"&lt;&gt;" &amp; "")</f>
        <v>0</v>
      </c>
      <c r="M56" s="19">
        <f>COUNTIFS('C+8 Data'!$AB:$AB,L$1,'C+8 Data'!$V:$V,"Very satisfactory (100%)")</f>
        <v>0</v>
      </c>
      <c r="N56" s="26" t="str">
        <f t="shared" ref="N56:N60" si="281">IF(L56 &lt;&gt; 0,M56/L56,"")</f>
        <v/>
      </c>
      <c r="O56" s="19">
        <f>COUNTIFS('C+8 Data'!$AB:$AB,O$1,'C+8 Data'!$V:$V,"&lt;&gt;" &amp; "")</f>
        <v>0</v>
      </c>
      <c r="P56" s="19">
        <f>COUNTIFS('C+8 Data'!$AB:$AB,O$1,'C+8 Data'!$V:$V,"Very satisfactory (100%)")</f>
        <v>0</v>
      </c>
      <c r="Q56" s="26" t="str">
        <f t="shared" ref="Q56:Q60" si="282">IF(O56 &lt;&gt; 0,P56/O56,"")</f>
        <v/>
      </c>
      <c r="R56" s="19">
        <f>COUNTIFS('C+8 Data'!$AB:$AB,R$1,'C+8 Data'!$V:$V,"&lt;&gt;" &amp; "")</f>
        <v>0</v>
      </c>
      <c r="S56" s="19">
        <f>COUNTIFS('C+8 Data'!$AB:$AB,R$1,'C+8 Data'!$V:$V,"Very satisfactory (100%)")</f>
        <v>0</v>
      </c>
      <c r="T56" s="26" t="str">
        <f t="shared" ref="T56:T60" si="283">IF(R56 &lt;&gt; 0,S56/R56,"")</f>
        <v/>
      </c>
      <c r="U56" s="19">
        <f>COUNTIFS('C+8 Data'!$AB:$AB,U$1,'C+8 Data'!$V:$V,"&lt;&gt;" &amp; "")</f>
        <v>0</v>
      </c>
      <c r="V56" s="19">
        <f>COUNTIFS('C+8 Data'!$AB:$AB,U$1,'C+8 Data'!$V:$V,"Very satisfactory (100%)")</f>
        <v>0</v>
      </c>
      <c r="W56" s="26" t="str">
        <f t="shared" ref="W56:W60" si="284">IF(U56 &lt;&gt; 0,V56/U56,"")</f>
        <v/>
      </c>
      <c r="X56" s="19">
        <f>COUNTIFS('C+8 Data'!$AB:$AB,X$1,'C+8 Data'!$V:$V,"&lt;&gt;" &amp; "")</f>
        <v>0</v>
      </c>
      <c r="Y56" s="19">
        <f>COUNTIFS('C+8 Data'!$AB:$AB,X$1,'C+8 Data'!$V:$V,"Very satisfactory (100%)")</f>
        <v>0</v>
      </c>
      <c r="Z56" s="26" t="str">
        <f t="shared" ref="Z56:Z60" si="285">IF(X56 &lt;&gt; 0,Y56/X56,"")</f>
        <v/>
      </c>
      <c r="AA56" s="19">
        <f>COUNTIFS('C+8 Data'!$AB:$AB,AA$1,'C+8 Data'!$V:$V,"&lt;&gt;" &amp; "")</f>
        <v>0</v>
      </c>
      <c r="AB56" s="19">
        <f>COUNTIFS('C+8 Data'!$AB:$AB,AA$1,'C+8 Data'!$V:$V,"Very satisfactory (100%)")</f>
        <v>0</v>
      </c>
      <c r="AC56" s="26" t="str">
        <f t="shared" ref="AC56:AC60" si="286">IF(AA56 &lt;&gt; 0,AB56/AA56,"")</f>
        <v/>
      </c>
      <c r="AD56" s="19">
        <f>COUNTIFS('C+8 Data'!$AB:$AB,AD$1,'C+8 Data'!$V:$V,"&lt;&gt;" &amp; "")</f>
        <v>0</v>
      </c>
      <c r="AE56" s="19">
        <f>COUNTIFS('C+8 Data'!$AB:$AB,AD$1,'C+8 Data'!$V:$V,"Very satisfactory (100%)")</f>
        <v>0</v>
      </c>
      <c r="AF56" s="26" t="str">
        <f t="shared" ref="AF56:AF60" si="287">IF(AD56 &lt;&gt; 0,AE56/AD56,"")</f>
        <v/>
      </c>
      <c r="AG56" s="19">
        <f>COUNTIFS('C+8 Data'!$AB:$AB,AG$1,'C+8 Data'!$V:$V,"&lt;&gt;" &amp; "")</f>
        <v>0</v>
      </c>
      <c r="AH56" s="19">
        <f>COUNTIFS('C+8 Data'!$AB:$AB,AG$1,'C+8 Data'!$V:$V,"Very satisfactory (100%)")</f>
        <v>0</v>
      </c>
      <c r="AI56" s="26" t="str">
        <f t="shared" ref="AI56:AI60" si="288">IF(AG56 &lt;&gt; 0,AH56/AG56,"")</f>
        <v/>
      </c>
      <c r="AJ56" s="19">
        <f>COUNTIFS('C+8 Data'!$AB:$AB,AJ$1,'C+8 Data'!$V:$V,"&lt;&gt;" &amp; "")</f>
        <v>0</v>
      </c>
      <c r="AK56" s="19">
        <f>COUNTIFS('C+8 Data'!$AB:$AB,AJ$1,'C+8 Data'!$V:$V,"Very satisfactory (100%)")</f>
        <v>0</v>
      </c>
      <c r="AL56" s="26" t="str">
        <f t="shared" ref="AL56:AL60" si="289">IF(AJ56 &lt;&gt; 0,AK56/AJ56,"")</f>
        <v/>
      </c>
      <c r="AM56" s="19">
        <f>COUNTIFS('C+8 Data'!$AB:$AB,AM$1,'C+8 Data'!$V:$V,"&lt;&gt;" &amp; "")</f>
        <v>0</v>
      </c>
      <c r="AN56" s="19">
        <f>COUNTIFS('C+8 Data'!$AB:$AB,AM$1,'C+8 Data'!$V:$V,"Very satisfactory (100%)")</f>
        <v>0</v>
      </c>
      <c r="AO56" s="26" t="str">
        <f t="shared" ref="AO56:AO60" si="290">IF(AM56 &lt;&gt; 0,AN56/AM56,"")</f>
        <v/>
      </c>
    </row>
    <row r="57" spans="1:41" x14ac:dyDescent="0.3">
      <c r="A57" s="24"/>
      <c r="B57" s="25" t="s">
        <v>75</v>
      </c>
      <c r="C57" s="19">
        <f>C56</f>
        <v>1</v>
      </c>
      <c r="D57" s="19">
        <f t="shared" si="10"/>
        <v>0</v>
      </c>
      <c r="E57" s="26">
        <f t="shared" si="11"/>
        <v>0</v>
      </c>
      <c r="F57" s="19">
        <f>F56</f>
        <v>0</v>
      </c>
      <c r="G57" s="19">
        <f>COUNTIFS('C+8 Data'!$AB:$AB,F$1,'C+8 Data'!$V:$V,"Satisfactory (80%)")</f>
        <v>0</v>
      </c>
      <c r="H57" s="26" t="str">
        <f t="shared" si="12"/>
        <v/>
      </c>
      <c r="I57" s="19">
        <f>I56</f>
        <v>1</v>
      </c>
      <c r="J57" s="19">
        <f>COUNTIFS('C+8 Data'!$AB:$AB,I$1,'C+8 Data'!$V:$V,"Satisfactory (80%)")</f>
        <v>0</v>
      </c>
      <c r="K57" s="26">
        <f t="shared" si="280"/>
        <v>0</v>
      </c>
      <c r="L57" s="19">
        <f>L56</f>
        <v>0</v>
      </c>
      <c r="M57" s="19">
        <f>COUNTIFS('C+8 Data'!$AB:$AB,L$1,'C+8 Data'!$V:$V,"Satisfactory (80%)")</f>
        <v>0</v>
      </c>
      <c r="N57" s="26" t="str">
        <f t="shared" si="281"/>
        <v/>
      </c>
      <c r="O57" s="19">
        <f>O56</f>
        <v>0</v>
      </c>
      <c r="P57" s="19">
        <f>COUNTIFS('C+8 Data'!$AB:$AB,O$1,'C+8 Data'!$V:$V,"Satisfactory (80%)")</f>
        <v>0</v>
      </c>
      <c r="Q57" s="26" t="str">
        <f t="shared" si="282"/>
        <v/>
      </c>
      <c r="R57" s="19">
        <f>R56</f>
        <v>0</v>
      </c>
      <c r="S57" s="19">
        <f>COUNTIFS('C+8 Data'!$AB:$AB,R$1,'C+8 Data'!$V:$V,"Satisfactory (80%)")</f>
        <v>0</v>
      </c>
      <c r="T57" s="26" t="str">
        <f t="shared" si="283"/>
        <v/>
      </c>
      <c r="U57" s="19">
        <f>U56</f>
        <v>0</v>
      </c>
      <c r="V57" s="19">
        <f>COUNTIFS('C+8 Data'!$AB:$AB,U$1,'C+8 Data'!$V:$V,"Satisfactory (80%)")</f>
        <v>0</v>
      </c>
      <c r="W57" s="26" t="str">
        <f t="shared" si="284"/>
        <v/>
      </c>
      <c r="X57" s="19">
        <f>X56</f>
        <v>0</v>
      </c>
      <c r="Y57" s="19">
        <f>COUNTIFS('C+8 Data'!$AB:$AB,X$1,'C+8 Data'!$V:$V,"Satisfactory (80%)")</f>
        <v>0</v>
      </c>
      <c r="Z57" s="26" t="str">
        <f t="shared" si="285"/>
        <v/>
      </c>
      <c r="AA57" s="19">
        <f>AA56</f>
        <v>0</v>
      </c>
      <c r="AB57" s="19">
        <f>COUNTIFS('C+8 Data'!$AB:$AB,AA$1,'C+8 Data'!$V:$V,"Satisfactory (80%)")</f>
        <v>0</v>
      </c>
      <c r="AC57" s="26" t="str">
        <f t="shared" si="286"/>
        <v/>
      </c>
      <c r="AD57" s="19">
        <f>AD56</f>
        <v>0</v>
      </c>
      <c r="AE57" s="19">
        <f>COUNTIFS('C+8 Data'!$AB:$AB,AD$1,'C+8 Data'!$V:$V,"Satisfactory (80%)")</f>
        <v>0</v>
      </c>
      <c r="AF57" s="26" t="str">
        <f t="shared" si="287"/>
        <v/>
      </c>
      <c r="AG57" s="19">
        <f>AG56</f>
        <v>0</v>
      </c>
      <c r="AH57" s="19">
        <f>COUNTIFS('C+8 Data'!$AB:$AB,AG$1,'C+8 Data'!$V:$V,"Satisfactory (80%)")</f>
        <v>0</v>
      </c>
      <c r="AI57" s="26" t="str">
        <f t="shared" si="288"/>
        <v/>
      </c>
      <c r="AJ57" s="19">
        <f>AJ56</f>
        <v>0</v>
      </c>
      <c r="AK57" s="19">
        <f>COUNTIFS('C+8 Data'!$AB:$AB,AJ$1,'C+8 Data'!$V:$V,"Satisfactory (80%)")</f>
        <v>0</v>
      </c>
      <c r="AL57" s="26" t="str">
        <f t="shared" si="289"/>
        <v/>
      </c>
      <c r="AM57" s="19">
        <f>AM56</f>
        <v>0</v>
      </c>
      <c r="AN57" s="19">
        <f>COUNTIFS('C+8 Data'!$AB:$AB,AM$1,'C+8 Data'!$V:$V,"Satisfactory (80%)")</f>
        <v>0</v>
      </c>
      <c r="AO57" s="26" t="str">
        <f t="shared" si="290"/>
        <v/>
      </c>
    </row>
    <row r="58" spans="1:41" x14ac:dyDescent="0.3">
      <c r="A58" s="24"/>
      <c r="B58" s="25" t="s">
        <v>76</v>
      </c>
      <c r="C58" s="19">
        <f t="shared" ref="C58:C60" si="291">C57</f>
        <v>1</v>
      </c>
      <c r="D58" s="19">
        <f t="shared" si="10"/>
        <v>0</v>
      </c>
      <c r="E58" s="26">
        <f t="shared" si="11"/>
        <v>0</v>
      </c>
      <c r="F58" s="19">
        <f t="shared" ref="F58:F60" si="292">F57</f>
        <v>0</v>
      </c>
      <c r="G58" s="19">
        <f>COUNTIFS('C+8 Data'!$AB:$AB,F$1,'C+8 Data'!$V:$V,"Average (60%)")</f>
        <v>0</v>
      </c>
      <c r="H58" s="26" t="str">
        <f t="shared" si="12"/>
        <v/>
      </c>
      <c r="I58" s="19">
        <f t="shared" ref="I58:I60" si="293">I57</f>
        <v>1</v>
      </c>
      <c r="J58" s="19">
        <f>COUNTIFS('C+8 Data'!$AB:$AB,I$1,'C+8 Data'!$V:$V,"Average (60%)")</f>
        <v>0</v>
      </c>
      <c r="K58" s="26">
        <f t="shared" si="280"/>
        <v>0</v>
      </c>
      <c r="L58" s="19">
        <f t="shared" ref="L58:L60" si="294">L57</f>
        <v>0</v>
      </c>
      <c r="M58" s="19">
        <f>COUNTIFS('C+8 Data'!$AB:$AB,L$1,'C+8 Data'!$V:$V,"Average (60%)")</f>
        <v>0</v>
      </c>
      <c r="N58" s="26" t="str">
        <f t="shared" si="281"/>
        <v/>
      </c>
      <c r="O58" s="19">
        <f t="shared" ref="O58:O60" si="295">O57</f>
        <v>0</v>
      </c>
      <c r="P58" s="19">
        <f>COUNTIFS('C+8 Data'!$AB:$AB,O$1,'C+8 Data'!$V:$V,"Average (60%)")</f>
        <v>0</v>
      </c>
      <c r="Q58" s="26" t="str">
        <f t="shared" si="282"/>
        <v/>
      </c>
      <c r="R58" s="19">
        <f t="shared" ref="R58:R60" si="296">R57</f>
        <v>0</v>
      </c>
      <c r="S58" s="19">
        <f>COUNTIFS('C+8 Data'!$AB:$AB,R$1,'C+8 Data'!$V:$V,"Average (60%)")</f>
        <v>0</v>
      </c>
      <c r="T58" s="26" t="str">
        <f t="shared" si="283"/>
        <v/>
      </c>
      <c r="U58" s="19">
        <f t="shared" ref="U58:U60" si="297">U57</f>
        <v>0</v>
      </c>
      <c r="V58" s="19">
        <f>COUNTIFS('C+8 Data'!$AB:$AB,U$1,'C+8 Data'!$V:$V,"Average (60%)")</f>
        <v>0</v>
      </c>
      <c r="W58" s="26" t="str">
        <f t="shared" si="284"/>
        <v/>
      </c>
      <c r="X58" s="19">
        <f t="shared" ref="X58:X60" si="298">X57</f>
        <v>0</v>
      </c>
      <c r="Y58" s="19">
        <f>COUNTIFS('C+8 Data'!$AB:$AB,X$1,'C+8 Data'!$V:$V,"Average (60%)")</f>
        <v>0</v>
      </c>
      <c r="Z58" s="26" t="str">
        <f t="shared" si="285"/>
        <v/>
      </c>
      <c r="AA58" s="19">
        <f t="shared" ref="AA58:AA60" si="299">AA57</f>
        <v>0</v>
      </c>
      <c r="AB58" s="19">
        <f>COUNTIFS('C+8 Data'!$AB:$AB,AA$1,'C+8 Data'!$V:$V,"Average (60%)")</f>
        <v>0</v>
      </c>
      <c r="AC58" s="26" t="str">
        <f t="shared" si="286"/>
        <v/>
      </c>
      <c r="AD58" s="19">
        <f t="shared" ref="AD58:AD60" si="300">AD57</f>
        <v>0</v>
      </c>
      <c r="AE58" s="19">
        <f>COUNTIFS('C+8 Data'!$AB:$AB,AD$1,'C+8 Data'!$V:$V,"Average (60%)")</f>
        <v>0</v>
      </c>
      <c r="AF58" s="26" t="str">
        <f t="shared" si="287"/>
        <v/>
      </c>
      <c r="AG58" s="19">
        <f t="shared" ref="AG58:AG60" si="301">AG57</f>
        <v>0</v>
      </c>
      <c r="AH58" s="19">
        <f>COUNTIFS('C+8 Data'!$AB:$AB,AG$1,'C+8 Data'!$V:$V,"Average (60%)")</f>
        <v>0</v>
      </c>
      <c r="AI58" s="26" t="str">
        <f t="shared" si="288"/>
        <v/>
      </c>
      <c r="AJ58" s="19">
        <f t="shared" ref="AJ58:AJ60" si="302">AJ57</f>
        <v>0</v>
      </c>
      <c r="AK58" s="19">
        <f>COUNTIFS('C+8 Data'!$AB:$AB,AJ$1,'C+8 Data'!$V:$V,"Average (60%)")</f>
        <v>0</v>
      </c>
      <c r="AL58" s="26" t="str">
        <f t="shared" si="289"/>
        <v/>
      </c>
      <c r="AM58" s="19">
        <f t="shared" ref="AM58:AM60" si="303">AM57</f>
        <v>0</v>
      </c>
      <c r="AN58" s="19">
        <f>COUNTIFS('C+8 Data'!$AB:$AB,AM$1,'C+8 Data'!$V:$V,"Average (60%)")</f>
        <v>0</v>
      </c>
      <c r="AO58" s="26" t="str">
        <f t="shared" si="290"/>
        <v/>
      </c>
    </row>
    <row r="59" spans="1:41" x14ac:dyDescent="0.3">
      <c r="A59" s="24"/>
      <c r="B59" s="25" t="s">
        <v>77</v>
      </c>
      <c r="C59" s="19">
        <f t="shared" si="291"/>
        <v>1</v>
      </c>
      <c r="D59" s="19">
        <f t="shared" si="10"/>
        <v>0</v>
      </c>
      <c r="E59" s="26">
        <f t="shared" si="11"/>
        <v>0</v>
      </c>
      <c r="F59" s="19">
        <f t="shared" si="292"/>
        <v>0</v>
      </c>
      <c r="G59" s="19">
        <f>COUNTIFS('C+8 Data'!$AB:$AB,F$1,'C+8 Data'!$V:$V,"Unsatisfactory (40%)")</f>
        <v>0</v>
      </c>
      <c r="H59" s="26" t="str">
        <f t="shared" si="12"/>
        <v/>
      </c>
      <c r="I59" s="19">
        <f t="shared" si="293"/>
        <v>1</v>
      </c>
      <c r="J59" s="19">
        <f>COUNTIFS('C+8 Data'!$AB:$AB,I$1,'C+8 Data'!$V:$V,"Unsatisfactory (40%)")</f>
        <v>0</v>
      </c>
      <c r="K59" s="26">
        <f t="shared" si="280"/>
        <v>0</v>
      </c>
      <c r="L59" s="19">
        <f t="shared" si="294"/>
        <v>0</v>
      </c>
      <c r="M59" s="19">
        <f>COUNTIFS('C+8 Data'!$AB:$AB,L$1,'C+8 Data'!$V:$V,"Unsatisfactory (40%)")</f>
        <v>0</v>
      </c>
      <c r="N59" s="26" t="str">
        <f t="shared" si="281"/>
        <v/>
      </c>
      <c r="O59" s="19">
        <f t="shared" si="295"/>
        <v>0</v>
      </c>
      <c r="P59" s="19">
        <f>COUNTIFS('C+8 Data'!$AB:$AB,O$1,'C+8 Data'!$V:$V,"Unsatisfactory (40%)")</f>
        <v>0</v>
      </c>
      <c r="Q59" s="26" t="str">
        <f t="shared" si="282"/>
        <v/>
      </c>
      <c r="R59" s="19">
        <f t="shared" si="296"/>
        <v>0</v>
      </c>
      <c r="S59" s="19">
        <f>COUNTIFS('C+8 Data'!$AB:$AB,R$1,'C+8 Data'!$V:$V,"Unsatisfactory (40%)")</f>
        <v>0</v>
      </c>
      <c r="T59" s="26" t="str">
        <f t="shared" si="283"/>
        <v/>
      </c>
      <c r="U59" s="19">
        <f t="shared" si="297"/>
        <v>0</v>
      </c>
      <c r="V59" s="19">
        <f>COUNTIFS('C+8 Data'!$AB:$AB,U$1,'C+8 Data'!$V:$V,"Unsatisfactory (40%)")</f>
        <v>0</v>
      </c>
      <c r="W59" s="26" t="str">
        <f t="shared" si="284"/>
        <v/>
      </c>
      <c r="X59" s="19">
        <f t="shared" si="298"/>
        <v>0</v>
      </c>
      <c r="Y59" s="19">
        <f>COUNTIFS('C+8 Data'!$AB:$AB,X$1,'C+8 Data'!$V:$V,"Unsatisfactory (40%)")</f>
        <v>0</v>
      </c>
      <c r="Z59" s="26" t="str">
        <f t="shared" si="285"/>
        <v/>
      </c>
      <c r="AA59" s="19">
        <f t="shared" si="299"/>
        <v>0</v>
      </c>
      <c r="AB59" s="19">
        <f>COUNTIFS('C+8 Data'!$AB:$AB,AA$1,'C+8 Data'!$V:$V,"Unsatisfactory (40%)")</f>
        <v>0</v>
      </c>
      <c r="AC59" s="26" t="str">
        <f t="shared" si="286"/>
        <v/>
      </c>
      <c r="AD59" s="19">
        <f t="shared" si="300"/>
        <v>0</v>
      </c>
      <c r="AE59" s="19">
        <f>COUNTIFS('C+8 Data'!$AB:$AB,AD$1,'C+8 Data'!$V:$V,"Unsatisfactory (40%)")</f>
        <v>0</v>
      </c>
      <c r="AF59" s="26" t="str">
        <f t="shared" si="287"/>
        <v/>
      </c>
      <c r="AG59" s="19">
        <f t="shared" si="301"/>
        <v>0</v>
      </c>
      <c r="AH59" s="19">
        <f>COUNTIFS('C+8 Data'!$AB:$AB,AG$1,'C+8 Data'!$V:$V,"Unsatisfactory (40%)")</f>
        <v>0</v>
      </c>
      <c r="AI59" s="26" t="str">
        <f t="shared" si="288"/>
        <v/>
      </c>
      <c r="AJ59" s="19">
        <f t="shared" si="302"/>
        <v>0</v>
      </c>
      <c r="AK59" s="19">
        <f>COUNTIFS('C+8 Data'!$AB:$AB,AJ$1,'C+8 Data'!$V:$V,"Unsatisfactory (40%)")</f>
        <v>0</v>
      </c>
      <c r="AL59" s="26" t="str">
        <f t="shared" si="289"/>
        <v/>
      </c>
      <c r="AM59" s="19">
        <f t="shared" si="303"/>
        <v>0</v>
      </c>
      <c r="AN59" s="19">
        <f>COUNTIFS('C+8 Data'!$AB:$AB,AM$1,'C+8 Data'!$V:$V,"Unsatisfactory (40%)")</f>
        <v>0</v>
      </c>
      <c r="AO59" s="26" t="str">
        <f t="shared" si="290"/>
        <v/>
      </c>
    </row>
    <row r="60" spans="1:41" x14ac:dyDescent="0.3">
      <c r="A60" s="24"/>
      <c r="B60" s="25" t="s">
        <v>78</v>
      </c>
      <c r="C60" s="19">
        <f t="shared" si="291"/>
        <v>1</v>
      </c>
      <c r="D60" s="19">
        <f t="shared" si="10"/>
        <v>0</v>
      </c>
      <c r="E60" s="26">
        <f t="shared" si="11"/>
        <v>0</v>
      </c>
      <c r="F60" s="19">
        <f t="shared" si="292"/>
        <v>0</v>
      </c>
      <c r="G60" s="19">
        <f>COUNTIFS('C+8 Data'!$AB:$AB,F$1,'C+8 Data'!$V:$V,"Very Unsatisfactory (20%)")</f>
        <v>0</v>
      </c>
      <c r="H60" s="26" t="str">
        <f t="shared" si="12"/>
        <v/>
      </c>
      <c r="I60" s="19">
        <f t="shared" si="293"/>
        <v>1</v>
      </c>
      <c r="J60" s="19">
        <f>COUNTIFS('C+8 Data'!$AB:$AB,I$1,'C+8 Data'!$V:$V,"Very Unsatisfactory (20%)")</f>
        <v>0</v>
      </c>
      <c r="K60" s="26">
        <f t="shared" si="280"/>
        <v>0</v>
      </c>
      <c r="L60" s="19">
        <f t="shared" si="294"/>
        <v>0</v>
      </c>
      <c r="M60" s="19">
        <f>COUNTIFS('C+8 Data'!$AB:$AB,L$1,'C+8 Data'!$V:$V,"Very Unsatisfactory (20%)")</f>
        <v>0</v>
      </c>
      <c r="N60" s="26" t="str">
        <f t="shared" si="281"/>
        <v/>
      </c>
      <c r="O60" s="19">
        <f t="shared" si="295"/>
        <v>0</v>
      </c>
      <c r="P60" s="19">
        <f>COUNTIFS('C+8 Data'!$AB:$AB,O$1,'C+8 Data'!$V:$V,"Very Unsatisfactory (20%)")</f>
        <v>0</v>
      </c>
      <c r="Q60" s="26" t="str">
        <f t="shared" si="282"/>
        <v/>
      </c>
      <c r="R60" s="19">
        <f t="shared" si="296"/>
        <v>0</v>
      </c>
      <c r="S60" s="19">
        <f>COUNTIFS('C+8 Data'!$AB:$AB,R$1,'C+8 Data'!$V:$V,"Very Unsatisfactory (20%)")</f>
        <v>0</v>
      </c>
      <c r="T60" s="26" t="str">
        <f t="shared" si="283"/>
        <v/>
      </c>
      <c r="U60" s="19">
        <f t="shared" si="297"/>
        <v>0</v>
      </c>
      <c r="V60" s="19">
        <f>COUNTIFS('C+8 Data'!$AB:$AB,U$1,'C+8 Data'!$V:$V,"Very Unsatisfactory (20%)")</f>
        <v>0</v>
      </c>
      <c r="W60" s="26" t="str">
        <f t="shared" si="284"/>
        <v/>
      </c>
      <c r="X60" s="19">
        <f t="shared" si="298"/>
        <v>0</v>
      </c>
      <c r="Y60" s="19">
        <f>COUNTIFS('C+8 Data'!$AB:$AB,X$1,'C+8 Data'!$V:$V,"Very Unsatisfactory (20%)")</f>
        <v>0</v>
      </c>
      <c r="Z60" s="26" t="str">
        <f t="shared" si="285"/>
        <v/>
      </c>
      <c r="AA60" s="19">
        <f t="shared" si="299"/>
        <v>0</v>
      </c>
      <c r="AB60" s="19">
        <f>COUNTIFS('C+8 Data'!$AB:$AB,AA$1,'C+8 Data'!$V:$V,"Very Unsatisfactory (20%)")</f>
        <v>0</v>
      </c>
      <c r="AC60" s="26" t="str">
        <f t="shared" si="286"/>
        <v/>
      </c>
      <c r="AD60" s="19">
        <f t="shared" si="300"/>
        <v>0</v>
      </c>
      <c r="AE60" s="19">
        <f>COUNTIFS('C+8 Data'!$AB:$AB,AD$1,'C+8 Data'!$V:$V,"Very Unsatisfactory (20%)")</f>
        <v>0</v>
      </c>
      <c r="AF60" s="26" t="str">
        <f t="shared" si="287"/>
        <v/>
      </c>
      <c r="AG60" s="19">
        <f t="shared" si="301"/>
        <v>0</v>
      </c>
      <c r="AH60" s="19">
        <f>COUNTIFS('C+8 Data'!$AB:$AB,AG$1,'C+8 Data'!$V:$V,"Very Unsatisfactory (20%)")</f>
        <v>0</v>
      </c>
      <c r="AI60" s="26" t="str">
        <f t="shared" si="288"/>
        <v/>
      </c>
      <c r="AJ60" s="19">
        <f t="shared" si="302"/>
        <v>0</v>
      </c>
      <c r="AK60" s="19">
        <f>COUNTIFS('C+8 Data'!$AB:$AB,AJ$1,'C+8 Data'!$V:$V,"Very Unsatisfactory (20%)")</f>
        <v>0</v>
      </c>
      <c r="AL60" s="26" t="str">
        <f t="shared" si="289"/>
        <v/>
      </c>
      <c r="AM60" s="19">
        <f t="shared" si="303"/>
        <v>0</v>
      </c>
      <c r="AN60" s="19">
        <f>COUNTIFS('C+8 Data'!$AB:$AB,AM$1,'C+8 Data'!$V:$V,"Very Unsatisfactory (20%)")</f>
        <v>0</v>
      </c>
      <c r="AO60" s="26" t="str">
        <f t="shared" si="290"/>
        <v/>
      </c>
    </row>
    <row r="61" spans="1:41" x14ac:dyDescent="0.3">
      <c r="A61" s="24">
        <v>9</v>
      </c>
      <c r="B61" s="30" t="s">
        <v>7</v>
      </c>
      <c r="C61" s="19"/>
      <c r="D61" s="19"/>
      <c r="E61" s="26"/>
      <c r="F61" s="19"/>
      <c r="G61" s="19"/>
      <c r="H61" s="26"/>
      <c r="I61" s="19"/>
      <c r="J61" s="19"/>
      <c r="K61" s="26"/>
      <c r="L61" s="19"/>
      <c r="M61" s="19"/>
      <c r="N61" s="26"/>
      <c r="O61" s="19"/>
      <c r="P61" s="19"/>
      <c r="Q61" s="26"/>
      <c r="R61" s="19"/>
      <c r="S61" s="19"/>
      <c r="T61" s="26"/>
      <c r="U61" s="19"/>
      <c r="V61" s="19"/>
      <c r="W61" s="26"/>
      <c r="X61" s="19"/>
      <c r="Y61" s="19"/>
      <c r="Z61" s="26"/>
      <c r="AA61" s="19"/>
      <c r="AB61" s="19"/>
      <c r="AC61" s="26"/>
      <c r="AD61" s="19"/>
      <c r="AE61" s="19"/>
      <c r="AF61" s="26"/>
      <c r="AG61" s="19"/>
      <c r="AH61" s="19"/>
      <c r="AI61" s="26"/>
      <c r="AJ61" s="19"/>
      <c r="AK61" s="19"/>
      <c r="AL61" s="26"/>
      <c r="AM61" s="19"/>
      <c r="AN61" s="19"/>
      <c r="AO61" s="26"/>
    </row>
    <row r="62" spans="1:41" x14ac:dyDescent="0.3">
      <c r="A62" s="24"/>
      <c r="B62" s="25" t="s">
        <v>74</v>
      </c>
      <c r="C62" s="19">
        <f>COUNTIF('C+8 Data'!$W:$W,"&lt;&gt;" &amp; "")-1</f>
        <v>1</v>
      </c>
      <c r="D62" s="19">
        <f t="shared" si="10"/>
        <v>1</v>
      </c>
      <c r="E62" s="26">
        <f t="shared" si="11"/>
        <v>1</v>
      </c>
      <c r="F62" s="19">
        <f>COUNTIFS('C+8 Data'!$AB:$AB,F$1,'C+8 Data'!$W:$W,"&lt;&gt;" &amp; "")</f>
        <v>0</v>
      </c>
      <c r="G62" s="19">
        <f>COUNTIFS('C+8 Data'!$AB:$AB,F$1,'C+8 Data'!$W:$W,"Very satisfactory (100%)")</f>
        <v>0</v>
      </c>
      <c r="H62" s="26" t="str">
        <f t="shared" si="12"/>
        <v/>
      </c>
      <c r="I62" s="19">
        <f>COUNTIFS('C+8 Data'!$AB:$AB,I$1,'C+8 Data'!$W:$W,"&lt;&gt;" &amp; "")</f>
        <v>1</v>
      </c>
      <c r="J62" s="19">
        <f>COUNTIFS('C+8 Data'!$AB:$AB,I$1,'C+8 Data'!$W:$W,"Very satisfactory (100%)")</f>
        <v>1</v>
      </c>
      <c r="K62" s="26">
        <f t="shared" ref="K62:K66" si="304">IF(I62 &lt;&gt; 0,J62/I62,"")</f>
        <v>1</v>
      </c>
      <c r="L62" s="19">
        <f>COUNTIFS('C+8 Data'!$AB:$AB,L$1,'C+8 Data'!$W:$W,"&lt;&gt;" &amp; "")</f>
        <v>0</v>
      </c>
      <c r="M62" s="19">
        <f>COUNTIFS('C+8 Data'!$AB:$AB,L$1,'C+8 Data'!$W:$W,"Very satisfactory (100%)")</f>
        <v>0</v>
      </c>
      <c r="N62" s="26" t="str">
        <f t="shared" ref="N62:N66" si="305">IF(L62 &lt;&gt; 0,M62/L62,"")</f>
        <v/>
      </c>
      <c r="O62" s="19">
        <f>COUNTIFS('C+8 Data'!$AB:$AB,O$1,'C+8 Data'!$W:$W,"&lt;&gt;" &amp; "")</f>
        <v>0</v>
      </c>
      <c r="P62" s="19">
        <f>COUNTIFS('C+8 Data'!$AB:$AB,O$1,'C+8 Data'!$W:$W,"Very satisfactory (100%)")</f>
        <v>0</v>
      </c>
      <c r="Q62" s="26" t="str">
        <f t="shared" ref="Q62:Q66" si="306">IF(O62 &lt;&gt; 0,P62/O62,"")</f>
        <v/>
      </c>
      <c r="R62" s="19">
        <f>COUNTIFS('C+8 Data'!$AB:$AB,R$1,'C+8 Data'!$W:$W,"&lt;&gt;" &amp; "")</f>
        <v>0</v>
      </c>
      <c r="S62" s="19">
        <f>COUNTIFS('C+8 Data'!$AB:$AB,R$1,'C+8 Data'!$W:$W,"Very satisfactory (100%)")</f>
        <v>0</v>
      </c>
      <c r="T62" s="26" t="str">
        <f t="shared" ref="T62:T66" si="307">IF(R62 &lt;&gt; 0,S62/R62,"")</f>
        <v/>
      </c>
      <c r="U62" s="19">
        <f>COUNTIFS('C+8 Data'!$AB:$AB,U$1,'C+8 Data'!$W:$W,"&lt;&gt;" &amp; "")</f>
        <v>0</v>
      </c>
      <c r="V62" s="19">
        <f>COUNTIFS('C+8 Data'!$AB:$AB,U$1,'C+8 Data'!$W:$W,"Very satisfactory (100%)")</f>
        <v>0</v>
      </c>
      <c r="W62" s="26" t="str">
        <f t="shared" ref="W62:W66" si="308">IF(U62 &lt;&gt; 0,V62/U62,"")</f>
        <v/>
      </c>
      <c r="X62" s="19">
        <f>COUNTIFS('C+8 Data'!$AB:$AB,X$1,'C+8 Data'!$W:$W,"&lt;&gt;" &amp; "")</f>
        <v>0</v>
      </c>
      <c r="Y62" s="19">
        <f>COUNTIFS('C+8 Data'!$AB:$AB,X$1,'C+8 Data'!$W:$W,"Very satisfactory (100%)")</f>
        <v>0</v>
      </c>
      <c r="Z62" s="26" t="str">
        <f t="shared" ref="Z62:Z66" si="309">IF(X62 &lt;&gt; 0,Y62/X62,"")</f>
        <v/>
      </c>
      <c r="AA62" s="19">
        <f>COUNTIFS('C+8 Data'!$AB:$AB,AA$1,'C+8 Data'!$W:$W,"&lt;&gt;" &amp; "")</f>
        <v>0</v>
      </c>
      <c r="AB62" s="19">
        <f>COUNTIFS('C+8 Data'!$AB:$AB,AA$1,'C+8 Data'!$W:$W,"Very satisfactory (100%)")</f>
        <v>0</v>
      </c>
      <c r="AC62" s="26" t="str">
        <f t="shared" ref="AC62:AC66" si="310">IF(AA62 &lt;&gt; 0,AB62/AA62,"")</f>
        <v/>
      </c>
      <c r="AD62" s="19">
        <f>COUNTIFS('C+8 Data'!$AB:$AB,AD$1,'C+8 Data'!$W:$W,"&lt;&gt;" &amp; "")</f>
        <v>0</v>
      </c>
      <c r="AE62" s="19">
        <f>COUNTIFS('C+8 Data'!$AB:$AB,AD$1,'C+8 Data'!$W:$W,"Very satisfactory (100%)")</f>
        <v>0</v>
      </c>
      <c r="AF62" s="26" t="str">
        <f t="shared" ref="AF62:AF66" si="311">IF(AD62 &lt;&gt; 0,AE62/AD62,"")</f>
        <v/>
      </c>
      <c r="AG62" s="19">
        <f>COUNTIFS('C+8 Data'!$AB:$AB,AG$1,'C+8 Data'!$W:$W,"&lt;&gt;" &amp; "")</f>
        <v>0</v>
      </c>
      <c r="AH62" s="19">
        <f>COUNTIFS('C+8 Data'!$AB:$AB,AG$1,'C+8 Data'!$W:$W,"Very satisfactory (100%)")</f>
        <v>0</v>
      </c>
      <c r="AI62" s="26" t="str">
        <f t="shared" ref="AI62:AI66" si="312">IF(AG62 &lt;&gt; 0,AH62/AG62,"")</f>
        <v/>
      </c>
      <c r="AJ62" s="19">
        <f>COUNTIFS('C+8 Data'!$AB:$AB,AJ$1,'C+8 Data'!$W:$W,"&lt;&gt;" &amp; "")</f>
        <v>0</v>
      </c>
      <c r="AK62" s="19">
        <f>COUNTIFS('C+8 Data'!$AB:$AB,AJ$1,'C+8 Data'!$W:$W,"Very satisfactory (100%)")</f>
        <v>0</v>
      </c>
      <c r="AL62" s="26" t="str">
        <f t="shared" ref="AL62:AL66" si="313">IF(AJ62 &lt;&gt; 0,AK62/AJ62,"")</f>
        <v/>
      </c>
      <c r="AM62" s="19">
        <f>COUNTIFS('C+8 Data'!$AB:$AB,AM$1,'C+8 Data'!$W:$W,"&lt;&gt;" &amp; "")</f>
        <v>0</v>
      </c>
      <c r="AN62" s="19">
        <f>COUNTIFS('C+8 Data'!$AB:$AB,AM$1,'C+8 Data'!$W:$W,"Very satisfactory (100%)")</f>
        <v>0</v>
      </c>
      <c r="AO62" s="26" t="str">
        <f t="shared" ref="AO62:AO66" si="314">IF(AM62 &lt;&gt; 0,AN62/AM62,"")</f>
        <v/>
      </c>
    </row>
    <row r="63" spans="1:41" x14ac:dyDescent="0.3">
      <c r="A63" s="24"/>
      <c r="B63" s="25" t="s">
        <v>75</v>
      </c>
      <c r="C63" s="19">
        <f>C62</f>
        <v>1</v>
      </c>
      <c r="D63" s="19">
        <f t="shared" si="10"/>
        <v>0</v>
      </c>
      <c r="E63" s="26">
        <f t="shared" si="11"/>
        <v>0</v>
      </c>
      <c r="F63" s="19">
        <f>F62</f>
        <v>0</v>
      </c>
      <c r="G63" s="19">
        <f>COUNTIFS('C+8 Data'!$AB:$AB,F$1,'C+8 Data'!$W:$W,"Satisfactory (80%)")</f>
        <v>0</v>
      </c>
      <c r="H63" s="26" t="str">
        <f t="shared" si="12"/>
        <v/>
      </c>
      <c r="I63" s="19">
        <f>I62</f>
        <v>1</v>
      </c>
      <c r="J63" s="19">
        <f>COUNTIFS('C+8 Data'!$AB:$AB,I$1,'C+8 Data'!$W:$W,"Satisfactory (80%)")</f>
        <v>0</v>
      </c>
      <c r="K63" s="26">
        <f t="shared" si="304"/>
        <v>0</v>
      </c>
      <c r="L63" s="19">
        <f>L62</f>
        <v>0</v>
      </c>
      <c r="M63" s="19">
        <f>COUNTIFS('C+8 Data'!$AB:$AB,L$1,'C+8 Data'!$W:$W,"Satisfactory (80%)")</f>
        <v>0</v>
      </c>
      <c r="N63" s="26" t="str">
        <f t="shared" si="305"/>
        <v/>
      </c>
      <c r="O63" s="19">
        <f>O62</f>
        <v>0</v>
      </c>
      <c r="P63" s="19">
        <f>COUNTIFS('C+8 Data'!$AB:$AB,O$1,'C+8 Data'!$W:$W,"Satisfactory (80%)")</f>
        <v>0</v>
      </c>
      <c r="Q63" s="26" t="str">
        <f t="shared" si="306"/>
        <v/>
      </c>
      <c r="R63" s="19">
        <f>R62</f>
        <v>0</v>
      </c>
      <c r="S63" s="19">
        <f>COUNTIFS('C+8 Data'!$AB:$AB,R$1,'C+8 Data'!$W:$W,"Satisfactory (80%)")</f>
        <v>0</v>
      </c>
      <c r="T63" s="26" t="str">
        <f t="shared" si="307"/>
        <v/>
      </c>
      <c r="U63" s="19">
        <f>U62</f>
        <v>0</v>
      </c>
      <c r="V63" s="19">
        <f>COUNTIFS('C+8 Data'!$AB:$AB,U$1,'C+8 Data'!$W:$W,"Satisfactory (80%)")</f>
        <v>0</v>
      </c>
      <c r="W63" s="26" t="str">
        <f t="shared" si="308"/>
        <v/>
      </c>
      <c r="X63" s="19">
        <f>X62</f>
        <v>0</v>
      </c>
      <c r="Y63" s="19">
        <f>COUNTIFS('C+8 Data'!$AB:$AB,X$1,'C+8 Data'!$W:$W,"Satisfactory (80%)")</f>
        <v>0</v>
      </c>
      <c r="Z63" s="26" t="str">
        <f t="shared" si="309"/>
        <v/>
      </c>
      <c r="AA63" s="19">
        <f>AA62</f>
        <v>0</v>
      </c>
      <c r="AB63" s="19">
        <f>COUNTIFS('C+8 Data'!$AB:$AB,AA$1,'C+8 Data'!$W:$W,"Satisfactory (80%)")</f>
        <v>0</v>
      </c>
      <c r="AC63" s="26" t="str">
        <f t="shared" si="310"/>
        <v/>
      </c>
      <c r="AD63" s="19">
        <f>AD62</f>
        <v>0</v>
      </c>
      <c r="AE63" s="19">
        <f>COUNTIFS('C+8 Data'!$AB:$AB,AD$1,'C+8 Data'!$W:$W,"Satisfactory (80%)")</f>
        <v>0</v>
      </c>
      <c r="AF63" s="26" t="str">
        <f t="shared" si="311"/>
        <v/>
      </c>
      <c r="AG63" s="19">
        <f>AG62</f>
        <v>0</v>
      </c>
      <c r="AH63" s="19">
        <f>COUNTIFS('C+8 Data'!$AB:$AB,AG$1,'C+8 Data'!$W:$W,"Satisfactory (80%)")</f>
        <v>0</v>
      </c>
      <c r="AI63" s="26" t="str">
        <f t="shared" si="312"/>
        <v/>
      </c>
      <c r="AJ63" s="19">
        <f>AJ62</f>
        <v>0</v>
      </c>
      <c r="AK63" s="19">
        <f>COUNTIFS('C+8 Data'!$AB:$AB,AJ$1,'C+8 Data'!$W:$W,"Satisfactory (80%)")</f>
        <v>0</v>
      </c>
      <c r="AL63" s="26" t="str">
        <f t="shared" si="313"/>
        <v/>
      </c>
      <c r="AM63" s="19">
        <f>AM62</f>
        <v>0</v>
      </c>
      <c r="AN63" s="19">
        <f>COUNTIFS('C+8 Data'!$AB:$AB,AM$1,'C+8 Data'!$W:$W,"Satisfactory (80%)")</f>
        <v>0</v>
      </c>
      <c r="AO63" s="26" t="str">
        <f t="shared" si="314"/>
        <v/>
      </c>
    </row>
    <row r="64" spans="1:41" x14ac:dyDescent="0.3">
      <c r="A64" s="24"/>
      <c r="B64" s="25" t="s">
        <v>76</v>
      </c>
      <c r="C64" s="19">
        <f t="shared" ref="C64:C66" si="315">C63</f>
        <v>1</v>
      </c>
      <c r="D64" s="19">
        <f t="shared" si="10"/>
        <v>0</v>
      </c>
      <c r="E64" s="26">
        <f t="shared" si="11"/>
        <v>0</v>
      </c>
      <c r="F64" s="19">
        <f t="shared" ref="F64:F66" si="316">F63</f>
        <v>0</v>
      </c>
      <c r="G64" s="19">
        <f>COUNTIFS('C+8 Data'!$AB:$AB,F$1,'C+8 Data'!$W:$W,"Average (60%)")</f>
        <v>0</v>
      </c>
      <c r="H64" s="26" t="str">
        <f t="shared" si="12"/>
        <v/>
      </c>
      <c r="I64" s="19">
        <f t="shared" ref="I64:I66" si="317">I63</f>
        <v>1</v>
      </c>
      <c r="J64" s="19">
        <f>COUNTIFS('C+8 Data'!$AB:$AB,I$1,'C+8 Data'!$W:$W,"Average (60%)")</f>
        <v>0</v>
      </c>
      <c r="K64" s="26">
        <f t="shared" si="304"/>
        <v>0</v>
      </c>
      <c r="L64" s="19">
        <f t="shared" ref="L64:L66" si="318">L63</f>
        <v>0</v>
      </c>
      <c r="M64" s="19">
        <f>COUNTIFS('C+8 Data'!$AB:$AB,L$1,'C+8 Data'!$W:$W,"Average (60%)")</f>
        <v>0</v>
      </c>
      <c r="N64" s="26" t="str">
        <f t="shared" si="305"/>
        <v/>
      </c>
      <c r="O64" s="19">
        <f t="shared" ref="O64:O66" si="319">O63</f>
        <v>0</v>
      </c>
      <c r="P64" s="19">
        <f>COUNTIFS('C+8 Data'!$AB:$AB,O$1,'C+8 Data'!$W:$W,"Average (60%)")</f>
        <v>0</v>
      </c>
      <c r="Q64" s="26" t="str">
        <f t="shared" si="306"/>
        <v/>
      </c>
      <c r="R64" s="19">
        <f t="shared" ref="R64:R66" si="320">R63</f>
        <v>0</v>
      </c>
      <c r="S64" s="19">
        <f>COUNTIFS('C+8 Data'!$AB:$AB,R$1,'C+8 Data'!$W:$W,"Average (60%)")</f>
        <v>0</v>
      </c>
      <c r="T64" s="26" t="str">
        <f t="shared" si="307"/>
        <v/>
      </c>
      <c r="U64" s="19">
        <f t="shared" ref="U64:U66" si="321">U63</f>
        <v>0</v>
      </c>
      <c r="V64" s="19">
        <f>COUNTIFS('C+8 Data'!$AB:$AB,U$1,'C+8 Data'!$W:$W,"Average (60%)")</f>
        <v>0</v>
      </c>
      <c r="W64" s="26" t="str">
        <f t="shared" si="308"/>
        <v/>
      </c>
      <c r="X64" s="19">
        <f t="shared" ref="X64:X66" si="322">X63</f>
        <v>0</v>
      </c>
      <c r="Y64" s="19">
        <f>COUNTIFS('C+8 Data'!$AB:$AB,X$1,'C+8 Data'!$W:$W,"Average (60%)")</f>
        <v>0</v>
      </c>
      <c r="Z64" s="26" t="str">
        <f t="shared" si="309"/>
        <v/>
      </c>
      <c r="AA64" s="19">
        <f t="shared" ref="AA64:AA66" si="323">AA63</f>
        <v>0</v>
      </c>
      <c r="AB64" s="19">
        <f>COUNTIFS('C+8 Data'!$AB:$AB,AA$1,'C+8 Data'!$W:$W,"Average (60%)")</f>
        <v>0</v>
      </c>
      <c r="AC64" s="26" t="str">
        <f t="shared" si="310"/>
        <v/>
      </c>
      <c r="AD64" s="19">
        <f t="shared" ref="AD64:AD66" si="324">AD63</f>
        <v>0</v>
      </c>
      <c r="AE64" s="19">
        <f>COUNTIFS('C+8 Data'!$AB:$AB,AD$1,'C+8 Data'!$W:$W,"Average (60%)")</f>
        <v>0</v>
      </c>
      <c r="AF64" s="26" t="str">
        <f t="shared" si="311"/>
        <v/>
      </c>
      <c r="AG64" s="19">
        <f t="shared" ref="AG64:AG66" si="325">AG63</f>
        <v>0</v>
      </c>
      <c r="AH64" s="19">
        <f>COUNTIFS('C+8 Data'!$AB:$AB,AG$1,'C+8 Data'!$W:$W,"Average (60%)")</f>
        <v>0</v>
      </c>
      <c r="AI64" s="26" t="str">
        <f t="shared" si="312"/>
        <v/>
      </c>
      <c r="AJ64" s="19">
        <f t="shared" ref="AJ64:AJ66" si="326">AJ63</f>
        <v>0</v>
      </c>
      <c r="AK64" s="19">
        <f>COUNTIFS('C+8 Data'!$AB:$AB,AJ$1,'C+8 Data'!$W:$W,"Average (60%)")</f>
        <v>0</v>
      </c>
      <c r="AL64" s="26" t="str">
        <f t="shared" si="313"/>
        <v/>
      </c>
      <c r="AM64" s="19">
        <f t="shared" ref="AM64:AM66" si="327">AM63</f>
        <v>0</v>
      </c>
      <c r="AN64" s="19">
        <f>COUNTIFS('C+8 Data'!$AB:$AB,AM$1,'C+8 Data'!$W:$W,"Average (60%)")</f>
        <v>0</v>
      </c>
      <c r="AO64" s="26" t="str">
        <f t="shared" si="314"/>
        <v/>
      </c>
    </row>
    <row r="65" spans="1:41" x14ac:dyDescent="0.3">
      <c r="A65" s="24"/>
      <c r="B65" s="25" t="s">
        <v>77</v>
      </c>
      <c r="C65" s="19">
        <f t="shared" si="315"/>
        <v>1</v>
      </c>
      <c r="D65" s="19">
        <f t="shared" si="10"/>
        <v>0</v>
      </c>
      <c r="E65" s="26">
        <f t="shared" si="11"/>
        <v>0</v>
      </c>
      <c r="F65" s="19">
        <f t="shared" si="316"/>
        <v>0</v>
      </c>
      <c r="G65" s="19">
        <f>COUNTIFS('C+8 Data'!$AB:$AB,F$1,'C+8 Data'!$W:$W,"Unsatisfactory (40%)")</f>
        <v>0</v>
      </c>
      <c r="H65" s="26" t="str">
        <f t="shared" si="12"/>
        <v/>
      </c>
      <c r="I65" s="19">
        <f t="shared" si="317"/>
        <v>1</v>
      </c>
      <c r="J65" s="19">
        <f>COUNTIFS('C+8 Data'!$AB:$AB,I$1,'C+8 Data'!$W:$W,"Unsatisfactory (40%)")</f>
        <v>0</v>
      </c>
      <c r="K65" s="26">
        <f t="shared" si="304"/>
        <v>0</v>
      </c>
      <c r="L65" s="19">
        <f t="shared" si="318"/>
        <v>0</v>
      </c>
      <c r="M65" s="19">
        <f>COUNTIFS('C+8 Data'!$AB:$AB,L$1,'C+8 Data'!$W:$W,"Unsatisfactory (40%)")</f>
        <v>0</v>
      </c>
      <c r="N65" s="26" t="str">
        <f t="shared" si="305"/>
        <v/>
      </c>
      <c r="O65" s="19">
        <f t="shared" si="319"/>
        <v>0</v>
      </c>
      <c r="P65" s="19">
        <f>COUNTIFS('C+8 Data'!$AB:$AB,O$1,'C+8 Data'!$W:$W,"Unsatisfactory (40%)")</f>
        <v>0</v>
      </c>
      <c r="Q65" s="26" t="str">
        <f t="shared" si="306"/>
        <v/>
      </c>
      <c r="R65" s="19">
        <f t="shared" si="320"/>
        <v>0</v>
      </c>
      <c r="S65" s="19">
        <f>COUNTIFS('C+8 Data'!$AB:$AB,R$1,'C+8 Data'!$W:$W,"Unsatisfactory (40%)")</f>
        <v>0</v>
      </c>
      <c r="T65" s="26" t="str">
        <f t="shared" si="307"/>
        <v/>
      </c>
      <c r="U65" s="19">
        <f t="shared" si="321"/>
        <v>0</v>
      </c>
      <c r="V65" s="19">
        <f>COUNTIFS('C+8 Data'!$AB:$AB,U$1,'C+8 Data'!$W:$W,"Unsatisfactory (40%)")</f>
        <v>0</v>
      </c>
      <c r="W65" s="26" t="str">
        <f t="shared" si="308"/>
        <v/>
      </c>
      <c r="X65" s="19">
        <f t="shared" si="322"/>
        <v>0</v>
      </c>
      <c r="Y65" s="19">
        <f>COUNTIFS('C+8 Data'!$AB:$AB,X$1,'C+8 Data'!$W:$W,"Unsatisfactory (40%)")</f>
        <v>0</v>
      </c>
      <c r="Z65" s="26" t="str">
        <f t="shared" si="309"/>
        <v/>
      </c>
      <c r="AA65" s="19">
        <f t="shared" si="323"/>
        <v>0</v>
      </c>
      <c r="AB65" s="19">
        <f>COUNTIFS('C+8 Data'!$AB:$AB,AA$1,'C+8 Data'!$W:$W,"Unsatisfactory (40%)")</f>
        <v>0</v>
      </c>
      <c r="AC65" s="26" t="str">
        <f t="shared" si="310"/>
        <v/>
      </c>
      <c r="AD65" s="19">
        <f t="shared" si="324"/>
        <v>0</v>
      </c>
      <c r="AE65" s="19">
        <f>COUNTIFS('C+8 Data'!$AB:$AB,AD$1,'C+8 Data'!$W:$W,"Unsatisfactory (40%)")</f>
        <v>0</v>
      </c>
      <c r="AF65" s="26" t="str">
        <f t="shared" si="311"/>
        <v/>
      </c>
      <c r="AG65" s="19">
        <f t="shared" si="325"/>
        <v>0</v>
      </c>
      <c r="AH65" s="19">
        <f>COUNTIFS('C+8 Data'!$AB:$AB,AG$1,'C+8 Data'!$W:$W,"Unsatisfactory (40%)")</f>
        <v>0</v>
      </c>
      <c r="AI65" s="26" t="str">
        <f t="shared" si="312"/>
        <v/>
      </c>
      <c r="AJ65" s="19">
        <f t="shared" si="326"/>
        <v>0</v>
      </c>
      <c r="AK65" s="19">
        <f>COUNTIFS('C+8 Data'!$AB:$AB,AJ$1,'C+8 Data'!$W:$W,"Unsatisfactory (40%)")</f>
        <v>0</v>
      </c>
      <c r="AL65" s="26" t="str">
        <f t="shared" si="313"/>
        <v/>
      </c>
      <c r="AM65" s="19">
        <f t="shared" si="327"/>
        <v>0</v>
      </c>
      <c r="AN65" s="19">
        <f>COUNTIFS('C+8 Data'!$AB:$AB,AM$1,'C+8 Data'!$W:$W,"Unsatisfactory (40%)")</f>
        <v>0</v>
      </c>
      <c r="AO65" s="26" t="str">
        <f t="shared" si="314"/>
        <v/>
      </c>
    </row>
    <row r="66" spans="1:41" x14ac:dyDescent="0.3">
      <c r="A66" s="24"/>
      <c r="B66" s="25" t="s">
        <v>78</v>
      </c>
      <c r="C66" s="19">
        <f t="shared" si="315"/>
        <v>1</v>
      </c>
      <c r="D66" s="19">
        <f t="shared" si="10"/>
        <v>0</v>
      </c>
      <c r="E66" s="26">
        <f t="shared" si="11"/>
        <v>0</v>
      </c>
      <c r="F66" s="19">
        <f t="shared" si="316"/>
        <v>0</v>
      </c>
      <c r="G66" s="19">
        <f>COUNTIFS('C+8 Data'!$AB:$AB,F$1,'C+8 Data'!$W:$W,"Very Unsatisfactory (20%)")</f>
        <v>0</v>
      </c>
      <c r="H66" s="26" t="str">
        <f t="shared" si="12"/>
        <v/>
      </c>
      <c r="I66" s="19">
        <f t="shared" si="317"/>
        <v>1</v>
      </c>
      <c r="J66" s="19">
        <f>COUNTIFS('C+8 Data'!$AB:$AB,I$1,'C+8 Data'!$W:$W,"Very Unsatisfactory (20%)")</f>
        <v>0</v>
      </c>
      <c r="K66" s="26">
        <f t="shared" si="304"/>
        <v>0</v>
      </c>
      <c r="L66" s="19">
        <f t="shared" si="318"/>
        <v>0</v>
      </c>
      <c r="M66" s="19">
        <f>COUNTIFS('C+8 Data'!$AB:$AB,L$1,'C+8 Data'!$W:$W,"Very Unsatisfactory (20%)")</f>
        <v>0</v>
      </c>
      <c r="N66" s="26" t="str">
        <f t="shared" si="305"/>
        <v/>
      </c>
      <c r="O66" s="19">
        <f t="shared" si="319"/>
        <v>0</v>
      </c>
      <c r="P66" s="19">
        <f>COUNTIFS('C+8 Data'!$AB:$AB,O$1,'C+8 Data'!$W:$W,"Very Unsatisfactory (20%)")</f>
        <v>0</v>
      </c>
      <c r="Q66" s="26" t="str">
        <f t="shared" si="306"/>
        <v/>
      </c>
      <c r="R66" s="19">
        <f t="shared" si="320"/>
        <v>0</v>
      </c>
      <c r="S66" s="19">
        <f>COUNTIFS('C+8 Data'!$AB:$AB,R$1,'C+8 Data'!$W:$W,"Very Unsatisfactory (20%)")</f>
        <v>0</v>
      </c>
      <c r="T66" s="26" t="str">
        <f t="shared" si="307"/>
        <v/>
      </c>
      <c r="U66" s="19">
        <f t="shared" si="321"/>
        <v>0</v>
      </c>
      <c r="V66" s="19">
        <f>COUNTIFS('C+8 Data'!$AB:$AB,U$1,'C+8 Data'!$W:$W,"Very Unsatisfactory (20%)")</f>
        <v>0</v>
      </c>
      <c r="W66" s="26" t="str">
        <f t="shared" si="308"/>
        <v/>
      </c>
      <c r="X66" s="19">
        <f t="shared" si="322"/>
        <v>0</v>
      </c>
      <c r="Y66" s="19">
        <f>COUNTIFS('C+8 Data'!$AB:$AB,X$1,'C+8 Data'!$W:$W,"Very Unsatisfactory (20%)")</f>
        <v>0</v>
      </c>
      <c r="Z66" s="26" t="str">
        <f t="shared" si="309"/>
        <v/>
      </c>
      <c r="AA66" s="19">
        <f t="shared" si="323"/>
        <v>0</v>
      </c>
      <c r="AB66" s="19">
        <f>COUNTIFS('C+8 Data'!$AB:$AB,AA$1,'C+8 Data'!$W:$W,"Very Unsatisfactory (20%)")</f>
        <v>0</v>
      </c>
      <c r="AC66" s="26" t="str">
        <f t="shared" si="310"/>
        <v/>
      </c>
      <c r="AD66" s="19">
        <f t="shared" si="324"/>
        <v>0</v>
      </c>
      <c r="AE66" s="19">
        <f>COUNTIFS('C+8 Data'!$AB:$AB,AD$1,'C+8 Data'!$W:$W,"Very Unsatisfactory (20%)")</f>
        <v>0</v>
      </c>
      <c r="AF66" s="26" t="str">
        <f t="shared" si="311"/>
        <v/>
      </c>
      <c r="AG66" s="19">
        <f t="shared" si="325"/>
        <v>0</v>
      </c>
      <c r="AH66" s="19">
        <f>COUNTIFS('C+8 Data'!$AB:$AB,AG$1,'C+8 Data'!$W:$W,"Very Unsatisfactory (20%)")</f>
        <v>0</v>
      </c>
      <c r="AI66" s="26" t="str">
        <f t="shared" si="312"/>
        <v/>
      </c>
      <c r="AJ66" s="19">
        <f t="shared" si="326"/>
        <v>0</v>
      </c>
      <c r="AK66" s="19">
        <f>COUNTIFS('C+8 Data'!$AB:$AB,AJ$1,'C+8 Data'!$W:$W,"Very Unsatisfactory (20%)")</f>
        <v>0</v>
      </c>
      <c r="AL66" s="26" t="str">
        <f t="shared" si="313"/>
        <v/>
      </c>
      <c r="AM66" s="19">
        <f t="shared" si="327"/>
        <v>0</v>
      </c>
      <c r="AN66" s="19">
        <f>COUNTIFS('C+8 Data'!$AB:$AB,AM$1,'C+8 Data'!$W:$W,"Very Unsatisfactory (20%)")</f>
        <v>0</v>
      </c>
      <c r="AO66" s="26" t="str">
        <f t="shared" si="314"/>
        <v/>
      </c>
    </row>
    <row r="67" spans="1:41" ht="26.4" x14ac:dyDescent="0.3">
      <c r="A67" s="24">
        <v>10</v>
      </c>
      <c r="B67" s="28" t="s">
        <v>21</v>
      </c>
      <c r="C67" s="19"/>
      <c r="D67" s="19"/>
      <c r="E67" s="26"/>
      <c r="F67" s="19"/>
      <c r="G67" s="19"/>
      <c r="H67" s="26"/>
      <c r="I67" s="19"/>
      <c r="J67" s="19"/>
      <c r="K67" s="26"/>
      <c r="L67" s="19"/>
      <c r="M67" s="19"/>
      <c r="N67" s="26"/>
      <c r="O67" s="19"/>
      <c r="P67" s="19"/>
      <c r="Q67" s="26"/>
      <c r="R67" s="19"/>
      <c r="S67" s="19"/>
      <c r="T67" s="26"/>
      <c r="U67" s="19"/>
      <c r="V67" s="19"/>
      <c r="W67" s="26"/>
      <c r="X67" s="19"/>
      <c r="Y67" s="19"/>
      <c r="Z67" s="26"/>
      <c r="AA67" s="19"/>
      <c r="AB67" s="19"/>
      <c r="AC67" s="26"/>
      <c r="AD67" s="19"/>
      <c r="AE67" s="19"/>
      <c r="AF67" s="26"/>
      <c r="AG67" s="19"/>
      <c r="AH67" s="19"/>
      <c r="AI67" s="26"/>
      <c r="AJ67" s="19"/>
      <c r="AK67" s="19"/>
      <c r="AL67" s="26"/>
      <c r="AM67" s="19"/>
      <c r="AN67" s="19"/>
      <c r="AO67" s="26"/>
    </row>
    <row r="68" spans="1:41" x14ac:dyDescent="0.3">
      <c r="A68" s="24"/>
      <c r="B68" s="25" t="s">
        <v>22</v>
      </c>
      <c r="C68" s="19">
        <f>COUNTIF('C+8 Data'!$X:$X,"&lt;&gt;" &amp; "")-1</f>
        <v>1</v>
      </c>
      <c r="D68" s="19">
        <f t="shared" si="10"/>
        <v>1</v>
      </c>
      <c r="E68" s="26">
        <f t="shared" si="11"/>
        <v>1</v>
      </c>
      <c r="F68" s="19">
        <f>COUNTIFS('C+8 Data'!$AB:$AB,F$1,'C+8 Data'!$X:$X,"&lt;&gt;" &amp; "")</f>
        <v>0</v>
      </c>
      <c r="G68" s="19">
        <f>COUNTIFS('C+8 Data'!$AB:$AB,F$1,'C+8 Data'!$X:$X,"100%")</f>
        <v>0</v>
      </c>
      <c r="H68" s="26" t="str">
        <f t="shared" si="12"/>
        <v/>
      </c>
      <c r="I68" s="19">
        <f>COUNTIFS('C+8 Data'!$AB:$AB,I$1,'C+8 Data'!$X:$X,"&lt;&gt;" &amp; "")</f>
        <v>1</v>
      </c>
      <c r="J68" s="19">
        <f>COUNTIFS('C+8 Data'!$AB:$AB,I$1,'C+8 Data'!$X:$X,"100%")</f>
        <v>1</v>
      </c>
      <c r="K68" s="26">
        <f t="shared" ref="K68:K72" si="328">IF(I68 &lt;&gt; 0,J68/I68,"")</f>
        <v>1</v>
      </c>
      <c r="L68" s="19">
        <f>COUNTIFS('C+8 Data'!$AB:$AB,L$1,'C+8 Data'!$X:$X,"&lt;&gt;" &amp; "")</f>
        <v>0</v>
      </c>
      <c r="M68" s="19">
        <f>COUNTIFS('C+8 Data'!$AB:$AB,L$1,'C+8 Data'!$X:$X,"100%")</f>
        <v>0</v>
      </c>
      <c r="N68" s="26" t="str">
        <f t="shared" ref="N68:N72" si="329">IF(L68 &lt;&gt; 0,M68/L68,"")</f>
        <v/>
      </c>
      <c r="O68" s="19">
        <f>COUNTIFS('C+8 Data'!$AB:$AB,O$1,'C+8 Data'!$X:$X,"&lt;&gt;" &amp; "")</f>
        <v>0</v>
      </c>
      <c r="P68" s="19">
        <f>COUNTIFS('C+8 Data'!$AB:$AB,O$1,'C+8 Data'!$X:$X,"100%")</f>
        <v>0</v>
      </c>
      <c r="Q68" s="26" t="str">
        <f t="shared" ref="Q68:Q72" si="330">IF(O68 &lt;&gt; 0,P68/O68,"")</f>
        <v/>
      </c>
      <c r="R68" s="19">
        <f>COUNTIFS('C+8 Data'!$AB:$AB,R$1,'C+8 Data'!$X:$X,"&lt;&gt;" &amp; "")</f>
        <v>0</v>
      </c>
      <c r="S68" s="19">
        <f>COUNTIFS('C+8 Data'!$AB:$AB,R$1,'C+8 Data'!$X:$X,"100%")</f>
        <v>0</v>
      </c>
      <c r="T68" s="26" t="str">
        <f t="shared" ref="T68:T72" si="331">IF(R68 &lt;&gt; 0,S68/R68,"")</f>
        <v/>
      </c>
      <c r="U68" s="19">
        <f>COUNTIFS('C+8 Data'!$AB:$AB,U$1,'C+8 Data'!$X:$X,"&lt;&gt;" &amp; "")</f>
        <v>0</v>
      </c>
      <c r="V68" s="19">
        <f>COUNTIFS('C+8 Data'!$AB:$AB,U$1,'C+8 Data'!$X:$X,"100%")</f>
        <v>0</v>
      </c>
      <c r="W68" s="26" t="str">
        <f t="shared" ref="W68:W72" si="332">IF(U68 &lt;&gt; 0,V68/U68,"")</f>
        <v/>
      </c>
      <c r="X68" s="19">
        <f>COUNTIFS('C+8 Data'!$AB:$AB,X$1,'C+8 Data'!$X:$X,"&lt;&gt;" &amp; "")</f>
        <v>0</v>
      </c>
      <c r="Y68" s="19">
        <f>COUNTIFS('C+8 Data'!$AB:$AB,X$1,'C+8 Data'!$X:$X,"100%")</f>
        <v>0</v>
      </c>
      <c r="Z68" s="26" t="str">
        <f t="shared" ref="Z68:Z72" si="333">IF(X68 &lt;&gt; 0,Y68/X68,"")</f>
        <v/>
      </c>
      <c r="AA68" s="19">
        <f>COUNTIFS('C+8 Data'!$AB:$AB,AA$1,'C+8 Data'!$X:$X,"&lt;&gt;" &amp; "")</f>
        <v>0</v>
      </c>
      <c r="AB68" s="19">
        <f>COUNTIFS('C+8 Data'!$AB:$AB,AA$1,'C+8 Data'!$X:$X,"100%")</f>
        <v>0</v>
      </c>
      <c r="AC68" s="26" t="str">
        <f t="shared" ref="AC68:AC72" si="334">IF(AA68 &lt;&gt; 0,AB68/AA68,"")</f>
        <v/>
      </c>
      <c r="AD68" s="19">
        <f>COUNTIFS('C+8 Data'!$AB:$AB,AD$1,'C+8 Data'!$X:$X,"&lt;&gt;" &amp; "")</f>
        <v>0</v>
      </c>
      <c r="AE68" s="19">
        <f>COUNTIFS('C+8 Data'!$AB:$AB,AD$1,'C+8 Data'!$X:$X,"100%")</f>
        <v>0</v>
      </c>
      <c r="AF68" s="26" t="str">
        <f t="shared" ref="AF68:AF72" si="335">IF(AD68 &lt;&gt; 0,AE68/AD68,"")</f>
        <v/>
      </c>
      <c r="AG68" s="19">
        <f>COUNTIFS('C+8 Data'!$AB:$AB,AG$1,'C+8 Data'!$X:$X,"&lt;&gt;" &amp; "")</f>
        <v>0</v>
      </c>
      <c r="AH68" s="19">
        <f>COUNTIFS('C+8 Data'!$AB:$AB,AG$1,'C+8 Data'!$X:$X,"100%")</f>
        <v>0</v>
      </c>
      <c r="AI68" s="26" t="str">
        <f t="shared" ref="AI68:AI72" si="336">IF(AG68 &lt;&gt; 0,AH68/AG68,"")</f>
        <v/>
      </c>
      <c r="AJ68" s="19">
        <f>COUNTIFS('C+8 Data'!$AB:$AB,AJ$1,'C+8 Data'!$X:$X,"&lt;&gt;" &amp; "")</f>
        <v>0</v>
      </c>
      <c r="AK68" s="19">
        <f>COUNTIFS('C+8 Data'!$AB:$AB,AJ$1,'C+8 Data'!$X:$X,"100%")</f>
        <v>0</v>
      </c>
      <c r="AL68" s="26" t="str">
        <f t="shared" ref="AL68:AL72" si="337">IF(AJ68 &lt;&gt; 0,AK68/AJ68,"")</f>
        <v/>
      </c>
      <c r="AM68" s="19">
        <f>COUNTIFS('C+8 Data'!$AB:$AB,AM$1,'C+8 Data'!$X:$X,"&lt;&gt;" &amp; "")</f>
        <v>0</v>
      </c>
      <c r="AN68" s="19">
        <f>COUNTIFS('C+8 Data'!$AB:$AB,AM$1,'C+8 Data'!$X:$X,"100%")</f>
        <v>0</v>
      </c>
      <c r="AO68" s="26" t="str">
        <f t="shared" ref="AO68:AO72" si="338">IF(AM68 &lt;&gt; 0,AN68/AM68,"")</f>
        <v/>
      </c>
    </row>
    <row r="69" spans="1:41" x14ac:dyDescent="0.3">
      <c r="A69" s="24"/>
      <c r="B69" s="25" t="s">
        <v>23</v>
      </c>
      <c r="C69" s="19">
        <f>C68</f>
        <v>1</v>
      </c>
      <c r="D69" s="19">
        <f t="shared" ref="D69:D72" si="339">G69+J69+M69+P69+S69+V69+Y69+AB69+AE69+AH69+AK69+AN69</f>
        <v>0</v>
      </c>
      <c r="E69" s="26">
        <f t="shared" ref="E69:E72" si="340">IF(C69 &lt;&gt; 0,D69/C69,"")</f>
        <v>0</v>
      </c>
      <c r="F69" s="19">
        <f>F68</f>
        <v>0</v>
      </c>
      <c r="G69" s="19">
        <f>COUNTIFS('C+8 Data'!$AB:$AB,F$1,'C+8 Data'!$X:$X,"80%")</f>
        <v>0</v>
      </c>
      <c r="H69" s="26" t="str">
        <f t="shared" ref="H69:H72" si="341">IF(F69 &lt;&gt; 0,G69/F69,"")</f>
        <v/>
      </c>
      <c r="I69" s="19">
        <f>I68</f>
        <v>1</v>
      </c>
      <c r="J69" s="19">
        <f>COUNTIFS('C+8 Data'!$AB:$AB,I$1,'C+8 Data'!$X:$X,"80%")</f>
        <v>0</v>
      </c>
      <c r="K69" s="26">
        <f t="shared" si="328"/>
        <v>0</v>
      </c>
      <c r="L69" s="19">
        <f>L68</f>
        <v>0</v>
      </c>
      <c r="M69" s="19">
        <f>COUNTIFS('C+8 Data'!$AB:$AB,L$1,'C+8 Data'!$X:$X,"80%")</f>
        <v>0</v>
      </c>
      <c r="N69" s="26" t="str">
        <f t="shared" si="329"/>
        <v/>
      </c>
      <c r="O69" s="19">
        <f>O68</f>
        <v>0</v>
      </c>
      <c r="P69" s="19">
        <f>COUNTIFS('C+8 Data'!$AB:$AB,O$1,'C+8 Data'!$X:$X,"80%")</f>
        <v>0</v>
      </c>
      <c r="Q69" s="26" t="str">
        <f t="shared" si="330"/>
        <v/>
      </c>
      <c r="R69" s="19">
        <f>R68</f>
        <v>0</v>
      </c>
      <c r="S69" s="19">
        <f>COUNTIFS('C+8 Data'!$AB:$AB,R$1,'C+8 Data'!$X:$X,"80%")</f>
        <v>0</v>
      </c>
      <c r="T69" s="26" t="str">
        <f t="shared" si="331"/>
        <v/>
      </c>
      <c r="U69" s="19">
        <f>U68</f>
        <v>0</v>
      </c>
      <c r="V69" s="19">
        <f>COUNTIFS('C+8 Data'!$AB:$AB,U$1,'C+8 Data'!$X:$X,"80%")</f>
        <v>0</v>
      </c>
      <c r="W69" s="26" t="str">
        <f t="shared" si="332"/>
        <v/>
      </c>
      <c r="X69" s="19">
        <f>X68</f>
        <v>0</v>
      </c>
      <c r="Y69" s="19">
        <f>COUNTIFS('C+8 Data'!$AB:$AB,X$1,'C+8 Data'!$X:$X,"80%")</f>
        <v>0</v>
      </c>
      <c r="Z69" s="26" t="str">
        <f t="shared" si="333"/>
        <v/>
      </c>
      <c r="AA69" s="19">
        <f>AA68</f>
        <v>0</v>
      </c>
      <c r="AB69" s="19">
        <f>COUNTIFS('C+8 Data'!$AB:$AB,AA$1,'C+8 Data'!$X:$X,"80%")</f>
        <v>0</v>
      </c>
      <c r="AC69" s="26" t="str">
        <f t="shared" si="334"/>
        <v/>
      </c>
      <c r="AD69" s="19">
        <f>AD68</f>
        <v>0</v>
      </c>
      <c r="AE69" s="19">
        <f>COUNTIFS('C+8 Data'!$AB:$AB,AD$1,'C+8 Data'!$X:$X,"80%")</f>
        <v>0</v>
      </c>
      <c r="AF69" s="26" t="str">
        <f t="shared" si="335"/>
        <v/>
      </c>
      <c r="AG69" s="19">
        <f>AG68</f>
        <v>0</v>
      </c>
      <c r="AH69" s="19">
        <f>COUNTIFS('C+8 Data'!$AB:$AB,AG$1,'C+8 Data'!$X:$X,"80%")</f>
        <v>0</v>
      </c>
      <c r="AI69" s="26" t="str">
        <f t="shared" si="336"/>
        <v/>
      </c>
      <c r="AJ69" s="19">
        <f>AJ68</f>
        <v>0</v>
      </c>
      <c r="AK69" s="19">
        <f>COUNTIFS('C+8 Data'!$AB:$AB,AJ$1,'C+8 Data'!$X:$X,"80%")</f>
        <v>0</v>
      </c>
      <c r="AL69" s="26" t="str">
        <f t="shared" si="337"/>
        <v/>
      </c>
      <c r="AM69" s="19">
        <f>AM68</f>
        <v>0</v>
      </c>
      <c r="AN69" s="19">
        <f>COUNTIFS('C+8 Data'!$AB:$AB,AM$1,'C+8 Data'!$X:$X,"80%")</f>
        <v>0</v>
      </c>
      <c r="AO69" s="26" t="str">
        <f t="shared" si="338"/>
        <v/>
      </c>
    </row>
    <row r="70" spans="1:41" x14ac:dyDescent="0.3">
      <c r="A70" s="24"/>
      <c r="B70" s="25" t="s">
        <v>24</v>
      </c>
      <c r="C70" s="19">
        <f t="shared" ref="C70:C72" si="342">C69</f>
        <v>1</v>
      </c>
      <c r="D70" s="19">
        <f t="shared" si="339"/>
        <v>0</v>
      </c>
      <c r="E70" s="26">
        <f t="shared" si="340"/>
        <v>0</v>
      </c>
      <c r="F70" s="19">
        <f t="shared" ref="F70:F72" si="343">F69</f>
        <v>0</v>
      </c>
      <c r="G70" s="19">
        <f>COUNTIFS('C+8 Data'!$AB:$AB,F$1,'C+8 Data'!$X:$X,"60%")</f>
        <v>0</v>
      </c>
      <c r="H70" s="26" t="str">
        <f t="shared" si="341"/>
        <v/>
      </c>
      <c r="I70" s="19">
        <f t="shared" ref="I70:I72" si="344">I69</f>
        <v>1</v>
      </c>
      <c r="J70" s="19">
        <f>COUNTIFS('C+8 Data'!$AB:$AB,I$1,'C+8 Data'!$X:$X,"60%")</f>
        <v>0</v>
      </c>
      <c r="K70" s="26">
        <f t="shared" si="328"/>
        <v>0</v>
      </c>
      <c r="L70" s="19">
        <f t="shared" ref="L70:L72" si="345">L69</f>
        <v>0</v>
      </c>
      <c r="M70" s="19">
        <f>COUNTIFS('C+8 Data'!$AB:$AB,L$1,'C+8 Data'!$X:$X,"60%")</f>
        <v>0</v>
      </c>
      <c r="N70" s="26" t="str">
        <f t="shared" si="329"/>
        <v/>
      </c>
      <c r="O70" s="19">
        <f t="shared" ref="O70:O72" si="346">O69</f>
        <v>0</v>
      </c>
      <c r="P70" s="19">
        <f>COUNTIFS('C+8 Data'!$AB:$AB,O$1,'C+8 Data'!$X:$X,"60%")</f>
        <v>0</v>
      </c>
      <c r="Q70" s="26" t="str">
        <f t="shared" si="330"/>
        <v/>
      </c>
      <c r="R70" s="19">
        <f t="shared" ref="R70:R72" si="347">R69</f>
        <v>0</v>
      </c>
      <c r="S70" s="19">
        <f>COUNTIFS('C+8 Data'!$AB:$AB,R$1,'C+8 Data'!$X:$X,"60%")</f>
        <v>0</v>
      </c>
      <c r="T70" s="26" t="str">
        <f t="shared" si="331"/>
        <v/>
      </c>
      <c r="U70" s="19">
        <f t="shared" ref="U70:U72" si="348">U69</f>
        <v>0</v>
      </c>
      <c r="V70" s="19">
        <f>COUNTIFS('C+8 Data'!$AB:$AB,U$1,'C+8 Data'!$X:$X,"60%")</f>
        <v>0</v>
      </c>
      <c r="W70" s="26" t="str">
        <f t="shared" si="332"/>
        <v/>
      </c>
      <c r="X70" s="19">
        <f t="shared" ref="X70:X72" si="349">X69</f>
        <v>0</v>
      </c>
      <c r="Y70" s="19">
        <f>COUNTIFS('C+8 Data'!$AB:$AB,X$1,'C+8 Data'!$X:$X,"60%")</f>
        <v>0</v>
      </c>
      <c r="Z70" s="26" t="str">
        <f t="shared" si="333"/>
        <v/>
      </c>
      <c r="AA70" s="19">
        <f t="shared" ref="AA70:AA72" si="350">AA69</f>
        <v>0</v>
      </c>
      <c r="AB70" s="19">
        <f>COUNTIFS('C+8 Data'!$AB:$AB,AA$1,'C+8 Data'!$X:$X,"60%")</f>
        <v>0</v>
      </c>
      <c r="AC70" s="26" t="str">
        <f t="shared" si="334"/>
        <v/>
      </c>
      <c r="AD70" s="19">
        <f t="shared" ref="AD70:AD72" si="351">AD69</f>
        <v>0</v>
      </c>
      <c r="AE70" s="19">
        <f>COUNTIFS('C+8 Data'!$AB:$AB,AD$1,'C+8 Data'!$X:$X,"60%")</f>
        <v>0</v>
      </c>
      <c r="AF70" s="26" t="str">
        <f t="shared" si="335"/>
        <v/>
      </c>
      <c r="AG70" s="19">
        <f t="shared" ref="AG70:AG72" si="352">AG69</f>
        <v>0</v>
      </c>
      <c r="AH70" s="19">
        <f>COUNTIFS('C+8 Data'!$AB:$AB,AG$1,'C+8 Data'!$X:$X,"60%")</f>
        <v>0</v>
      </c>
      <c r="AI70" s="26" t="str">
        <f t="shared" si="336"/>
        <v/>
      </c>
      <c r="AJ70" s="19">
        <f t="shared" ref="AJ70:AJ72" si="353">AJ69</f>
        <v>0</v>
      </c>
      <c r="AK70" s="19">
        <f>COUNTIFS('C+8 Data'!$AB:$AB,AJ$1,'C+8 Data'!$X:$X,"60%")</f>
        <v>0</v>
      </c>
      <c r="AL70" s="26" t="str">
        <f t="shared" si="337"/>
        <v/>
      </c>
      <c r="AM70" s="19">
        <f t="shared" ref="AM70:AM72" si="354">AM69</f>
        <v>0</v>
      </c>
      <c r="AN70" s="19">
        <f>COUNTIFS('C+8 Data'!$AB:$AB,AM$1,'C+8 Data'!$X:$X,"60%")</f>
        <v>0</v>
      </c>
      <c r="AO70" s="26" t="str">
        <f t="shared" si="338"/>
        <v/>
      </c>
    </row>
    <row r="71" spans="1:41" x14ac:dyDescent="0.3">
      <c r="A71" s="24"/>
      <c r="B71" s="25" t="s">
        <v>25</v>
      </c>
      <c r="C71" s="19">
        <f t="shared" si="342"/>
        <v>1</v>
      </c>
      <c r="D71" s="19">
        <f t="shared" si="339"/>
        <v>0</v>
      </c>
      <c r="E71" s="26">
        <f t="shared" si="340"/>
        <v>0</v>
      </c>
      <c r="F71" s="19">
        <f t="shared" si="343"/>
        <v>0</v>
      </c>
      <c r="G71" s="19">
        <f>COUNTIFS('C+8 Data'!$AB:$AB,F$1,'C+8 Data'!$X:$X,"40%")</f>
        <v>0</v>
      </c>
      <c r="H71" s="26" t="str">
        <f t="shared" si="341"/>
        <v/>
      </c>
      <c r="I71" s="19">
        <f t="shared" si="344"/>
        <v>1</v>
      </c>
      <c r="J71" s="19">
        <f>COUNTIFS('C+8 Data'!$AB:$AB,I$1,'C+8 Data'!$X:$X,"40%")</f>
        <v>0</v>
      </c>
      <c r="K71" s="26">
        <f t="shared" si="328"/>
        <v>0</v>
      </c>
      <c r="L71" s="19">
        <f t="shared" si="345"/>
        <v>0</v>
      </c>
      <c r="M71" s="19">
        <f>COUNTIFS('C+8 Data'!$AB:$AB,L$1,'C+8 Data'!$X:$X,"40%")</f>
        <v>0</v>
      </c>
      <c r="N71" s="26" t="str">
        <f t="shared" si="329"/>
        <v/>
      </c>
      <c r="O71" s="19">
        <f t="shared" si="346"/>
        <v>0</v>
      </c>
      <c r="P71" s="19">
        <f>COUNTIFS('C+8 Data'!$AB:$AB,O$1,'C+8 Data'!$X:$X,"40%")</f>
        <v>0</v>
      </c>
      <c r="Q71" s="26" t="str">
        <f t="shared" si="330"/>
        <v/>
      </c>
      <c r="R71" s="19">
        <f t="shared" si="347"/>
        <v>0</v>
      </c>
      <c r="S71" s="19">
        <f>COUNTIFS('C+8 Data'!$AB:$AB,R$1,'C+8 Data'!$X:$X,"40%")</f>
        <v>0</v>
      </c>
      <c r="T71" s="26" t="str">
        <f t="shared" si="331"/>
        <v/>
      </c>
      <c r="U71" s="19">
        <f t="shared" si="348"/>
        <v>0</v>
      </c>
      <c r="V71" s="19">
        <f>COUNTIFS('C+8 Data'!$AB:$AB,U$1,'C+8 Data'!$X:$X,"40%")</f>
        <v>0</v>
      </c>
      <c r="W71" s="26" t="str">
        <f t="shared" si="332"/>
        <v/>
      </c>
      <c r="X71" s="19">
        <f t="shared" si="349"/>
        <v>0</v>
      </c>
      <c r="Y71" s="19">
        <f>COUNTIFS('C+8 Data'!$AB:$AB,X$1,'C+8 Data'!$X:$X,"40%")</f>
        <v>0</v>
      </c>
      <c r="Z71" s="26" t="str">
        <f t="shared" si="333"/>
        <v/>
      </c>
      <c r="AA71" s="19">
        <f t="shared" si="350"/>
        <v>0</v>
      </c>
      <c r="AB71" s="19">
        <f>COUNTIFS('C+8 Data'!$AB:$AB,AA$1,'C+8 Data'!$X:$X,"40%")</f>
        <v>0</v>
      </c>
      <c r="AC71" s="26" t="str">
        <f t="shared" si="334"/>
        <v/>
      </c>
      <c r="AD71" s="19">
        <f t="shared" si="351"/>
        <v>0</v>
      </c>
      <c r="AE71" s="19">
        <f>COUNTIFS('C+8 Data'!$AB:$AB,AD$1,'C+8 Data'!$X:$X,"40%")</f>
        <v>0</v>
      </c>
      <c r="AF71" s="26" t="str">
        <f t="shared" si="335"/>
        <v/>
      </c>
      <c r="AG71" s="19">
        <f t="shared" si="352"/>
        <v>0</v>
      </c>
      <c r="AH71" s="19">
        <f>COUNTIFS('C+8 Data'!$AB:$AB,AG$1,'C+8 Data'!$X:$X,"40%")</f>
        <v>0</v>
      </c>
      <c r="AI71" s="26" t="str">
        <f t="shared" si="336"/>
        <v/>
      </c>
      <c r="AJ71" s="19">
        <f t="shared" si="353"/>
        <v>0</v>
      </c>
      <c r="AK71" s="19">
        <f>COUNTIFS('C+8 Data'!$AB:$AB,AJ$1,'C+8 Data'!$X:$X,"40%")</f>
        <v>0</v>
      </c>
      <c r="AL71" s="26" t="str">
        <f t="shared" si="337"/>
        <v/>
      </c>
      <c r="AM71" s="19">
        <f t="shared" si="354"/>
        <v>0</v>
      </c>
      <c r="AN71" s="19">
        <f>COUNTIFS('C+8 Data'!$AB:$AB,AM$1,'C+8 Data'!$X:$X,"40%")</f>
        <v>0</v>
      </c>
      <c r="AO71" s="26" t="str">
        <f t="shared" si="338"/>
        <v/>
      </c>
    </row>
    <row r="72" spans="1:41" x14ac:dyDescent="0.3">
      <c r="A72" s="24"/>
      <c r="B72" s="25" t="s">
        <v>26</v>
      </c>
      <c r="C72" s="19">
        <f t="shared" si="342"/>
        <v>1</v>
      </c>
      <c r="D72" s="19">
        <f t="shared" si="339"/>
        <v>0</v>
      </c>
      <c r="E72" s="26">
        <f t="shared" si="340"/>
        <v>0</v>
      </c>
      <c r="F72" s="19">
        <f t="shared" si="343"/>
        <v>0</v>
      </c>
      <c r="G72" s="19">
        <f>COUNTIFS('C+8 Data'!$AB:$AB,F$1,'C+8 Data'!$X:$X,"20%")</f>
        <v>0</v>
      </c>
      <c r="H72" s="26" t="str">
        <f t="shared" si="341"/>
        <v/>
      </c>
      <c r="I72" s="19">
        <f t="shared" si="344"/>
        <v>1</v>
      </c>
      <c r="J72" s="19">
        <f>COUNTIFS('C+8 Data'!$AB:$AB,I$1,'C+8 Data'!$X:$X,"20%")</f>
        <v>0</v>
      </c>
      <c r="K72" s="26">
        <f t="shared" si="328"/>
        <v>0</v>
      </c>
      <c r="L72" s="19">
        <f t="shared" si="345"/>
        <v>0</v>
      </c>
      <c r="M72" s="19">
        <f>COUNTIFS('C+8 Data'!$AB:$AB,L$1,'C+8 Data'!$X:$X,"20%")</f>
        <v>0</v>
      </c>
      <c r="N72" s="26" t="str">
        <f t="shared" si="329"/>
        <v/>
      </c>
      <c r="O72" s="19">
        <f t="shared" si="346"/>
        <v>0</v>
      </c>
      <c r="P72" s="19">
        <f>COUNTIFS('C+8 Data'!$AB:$AB,O$1,'C+8 Data'!$X:$X,"20%")</f>
        <v>0</v>
      </c>
      <c r="Q72" s="26" t="str">
        <f t="shared" si="330"/>
        <v/>
      </c>
      <c r="R72" s="19">
        <f t="shared" si="347"/>
        <v>0</v>
      </c>
      <c r="S72" s="19">
        <f>COUNTIFS('C+8 Data'!$AB:$AB,R$1,'C+8 Data'!$X:$X,"20%")</f>
        <v>0</v>
      </c>
      <c r="T72" s="26" t="str">
        <f t="shared" si="331"/>
        <v/>
      </c>
      <c r="U72" s="19">
        <f t="shared" si="348"/>
        <v>0</v>
      </c>
      <c r="V72" s="19">
        <f>COUNTIFS('C+8 Data'!$AB:$AB,U$1,'C+8 Data'!$X:$X,"20%")</f>
        <v>0</v>
      </c>
      <c r="W72" s="26" t="str">
        <f t="shared" si="332"/>
        <v/>
      </c>
      <c r="X72" s="19">
        <f t="shared" si="349"/>
        <v>0</v>
      </c>
      <c r="Y72" s="19">
        <f>COUNTIFS('C+8 Data'!$AB:$AB,X$1,'C+8 Data'!$X:$X,"20%")</f>
        <v>0</v>
      </c>
      <c r="Z72" s="26" t="str">
        <f t="shared" si="333"/>
        <v/>
      </c>
      <c r="AA72" s="19">
        <f t="shared" si="350"/>
        <v>0</v>
      </c>
      <c r="AB72" s="19">
        <f>COUNTIFS('C+8 Data'!$AB:$AB,AA$1,'C+8 Data'!$X:$X,"20%")</f>
        <v>0</v>
      </c>
      <c r="AC72" s="26" t="str">
        <f t="shared" si="334"/>
        <v/>
      </c>
      <c r="AD72" s="19">
        <f t="shared" si="351"/>
        <v>0</v>
      </c>
      <c r="AE72" s="19">
        <f>COUNTIFS('C+8 Data'!$AB:$AB,AD$1,'C+8 Data'!$X:$X,"20%")</f>
        <v>0</v>
      </c>
      <c r="AF72" s="26" t="str">
        <f t="shared" si="335"/>
        <v/>
      </c>
      <c r="AG72" s="19">
        <f t="shared" si="352"/>
        <v>0</v>
      </c>
      <c r="AH72" s="19">
        <f>COUNTIFS('C+8 Data'!$AB:$AB,AG$1,'C+8 Data'!$X:$X,"20%")</f>
        <v>0</v>
      </c>
      <c r="AI72" s="26" t="str">
        <f t="shared" si="336"/>
        <v/>
      </c>
      <c r="AJ72" s="19">
        <f t="shared" si="353"/>
        <v>0</v>
      </c>
      <c r="AK72" s="19">
        <f>COUNTIFS('C+8 Data'!$AB:$AB,AJ$1,'C+8 Data'!$X:$X,"20%")</f>
        <v>0</v>
      </c>
      <c r="AL72" s="26" t="str">
        <f t="shared" si="337"/>
        <v/>
      </c>
      <c r="AM72" s="19">
        <f t="shared" si="354"/>
        <v>0</v>
      </c>
      <c r="AN72" s="19">
        <f>COUNTIFS('C+8 Data'!$AB:$AB,AM$1,'C+8 Data'!$X:$X,"20%")</f>
        <v>0</v>
      </c>
      <c r="AO72" s="26" t="str">
        <f t="shared" si="338"/>
        <v/>
      </c>
    </row>
    <row r="73" spans="1:41" x14ac:dyDescent="0.3">
      <c r="A73" s="31" t="s">
        <v>27</v>
      </c>
      <c r="B73" s="31"/>
      <c r="C73" s="31"/>
      <c r="D73" s="31"/>
      <c r="E73" s="32"/>
      <c r="F73" s="31"/>
      <c r="G73" s="31"/>
      <c r="H73" s="32"/>
      <c r="I73" s="31"/>
      <c r="J73" s="31"/>
      <c r="K73" s="32"/>
      <c r="L73" s="31"/>
      <c r="M73" s="31"/>
      <c r="N73" s="32"/>
      <c r="O73" s="31"/>
      <c r="P73" s="31"/>
      <c r="Q73" s="32"/>
      <c r="R73" s="31"/>
      <c r="S73" s="31"/>
      <c r="T73" s="32"/>
      <c r="U73" s="31"/>
      <c r="V73" s="31"/>
      <c r="W73" s="32"/>
      <c r="X73" s="31"/>
      <c r="Y73" s="31"/>
      <c r="Z73" s="32"/>
      <c r="AA73" s="31"/>
      <c r="AB73" s="31"/>
      <c r="AC73" s="32"/>
      <c r="AD73" s="31"/>
      <c r="AE73" s="31"/>
      <c r="AF73" s="32"/>
      <c r="AG73" s="31"/>
      <c r="AH73" s="31"/>
      <c r="AI73" s="32"/>
      <c r="AJ73" s="31"/>
      <c r="AK73" s="31"/>
      <c r="AL73" s="32"/>
      <c r="AM73" s="31"/>
      <c r="AN73" s="31"/>
      <c r="AO73" s="32"/>
    </row>
  </sheetData>
  <mergeCells count="13">
    <mergeCell ref="A1:E1"/>
    <mergeCell ref="F1:H1"/>
    <mergeCell ref="I1:K1"/>
    <mergeCell ref="L1:N1"/>
    <mergeCell ref="O1:Q1"/>
    <mergeCell ref="AG1:AI1"/>
    <mergeCell ref="AJ1:AL1"/>
    <mergeCell ref="AM1:AO1"/>
    <mergeCell ref="R1:T1"/>
    <mergeCell ref="U1:W1"/>
    <mergeCell ref="X1:Z1"/>
    <mergeCell ref="AA1:AC1"/>
    <mergeCell ref="AD1:AF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1"/>
  <sheetViews>
    <sheetView showGridLines="0" tabSelected="1" topLeftCell="A104" workbookViewId="0">
      <selection activeCell="L110" sqref="L110"/>
    </sheetView>
  </sheetViews>
  <sheetFormatPr defaultRowHeight="14.4" x14ac:dyDescent="0.3"/>
  <cols>
    <col min="1" max="1" width="20.88671875" customWidth="1"/>
    <col min="2" max="2" width="8.6640625" customWidth="1"/>
    <col min="3" max="3" width="7" bestFit="1" customWidth="1"/>
    <col min="4" max="4" width="8.88671875" customWidth="1"/>
    <col min="5" max="5" width="7.109375" customWidth="1"/>
    <col min="6" max="6" width="9.5546875" customWidth="1"/>
    <col min="7" max="7" width="7.33203125" customWidth="1"/>
    <col min="8" max="8" width="8.109375" customWidth="1"/>
    <col min="9" max="9" width="7.109375" customWidth="1"/>
    <col min="10" max="10" width="9.44140625" customWidth="1"/>
    <col min="11" max="11" width="11.44140625" customWidth="1"/>
    <col min="12" max="12" width="10.33203125" customWidth="1"/>
    <col min="13" max="13" width="10.6640625" customWidth="1"/>
    <col min="14" max="14" width="8.109375" customWidth="1"/>
    <col min="18" max="18" width="29.33203125" customWidth="1"/>
    <col min="19" max="19" width="17.6640625" customWidth="1"/>
  </cols>
  <sheetData>
    <row r="1" spans="6:12" ht="23.4" x14ac:dyDescent="0.45">
      <c r="F1" s="54"/>
      <c r="G1" s="54"/>
      <c r="H1" s="54"/>
      <c r="I1" s="54"/>
      <c r="J1" s="54"/>
      <c r="K1" s="54"/>
      <c r="L1" s="54"/>
    </row>
    <row r="22" spans="1:16" ht="21" x14ac:dyDescent="0.4">
      <c r="A22" s="14"/>
    </row>
    <row r="24" spans="1:16" x14ac:dyDescent="0.3">
      <c r="O24" s="15"/>
      <c r="P24" s="15"/>
    </row>
    <row r="74" s="12" customFormat="1" x14ac:dyDescent="0.3"/>
    <row r="75" s="12" customFormat="1" x14ac:dyDescent="0.3"/>
    <row r="76" s="12" customFormat="1" x14ac:dyDescent="0.3"/>
    <row r="77" s="12" customFormat="1" x14ac:dyDescent="0.3"/>
    <row r="78" s="12" customFormat="1" x14ac:dyDescent="0.3"/>
    <row r="79" s="12" customFormat="1" x14ac:dyDescent="0.3"/>
    <row r="80" s="12" customFormat="1" x14ac:dyDescent="0.3"/>
    <row r="81" s="12" customFormat="1" x14ac:dyDescent="0.3"/>
    <row r="82" s="12" customFormat="1" x14ac:dyDescent="0.3"/>
    <row r="83" s="12" customFormat="1" x14ac:dyDescent="0.3"/>
    <row r="84" s="12" customFormat="1" x14ac:dyDescent="0.3"/>
    <row r="85" s="12" customFormat="1" x14ac:dyDescent="0.3"/>
    <row r="86" s="12" customFormat="1" x14ac:dyDescent="0.3"/>
    <row r="87" s="12" customFormat="1" x14ac:dyDescent="0.3"/>
    <row r="88" s="12" customFormat="1" x14ac:dyDescent="0.3"/>
    <row r="89" s="12" customFormat="1" x14ac:dyDescent="0.3"/>
    <row r="90" s="12" customFormat="1" x14ac:dyDescent="0.3"/>
    <row r="91" s="12" customFormat="1" x14ac:dyDescent="0.3"/>
    <row r="92" s="12" customFormat="1" x14ac:dyDescent="0.3"/>
    <row r="93" s="12" customFormat="1" x14ac:dyDescent="0.3"/>
    <row r="94" s="12" customFormat="1" x14ac:dyDescent="0.3"/>
    <row r="95" s="12" customFormat="1" x14ac:dyDescent="0.3"/>
    <row r="96" s="12" customFormat="1" x14ac:dyDescent="0.3"/>
    <row r="97" s="12" customFormat="1" x14ac:dyDescent="0.3"/>
    <row r="98" s="12" customFormat="1" x14ac:dyDescent="0.3"/>
    <row r="99" s="12" customFormat="1" x14ac:dyDescent="0.3"/>
    <row r="100" s="12" customFormat="1" x14ac:dyDescent="0.3"/>
    <row r="101" s="12" customFormat="1" x14ac:dyDescent="0.3"/>
    <row r="102" s="12" customFormat="1" x14ac:dyDescent="0.3"/>
    <row r="103" s="12" customFormat="1" x14ac:dyDescent="0.3"/>
    <row r="104" s="12" customFormat="1" x14ac:dyDescent="0.3"/>
    <row r="105" s="12" customFormat="1" x14ac:dyDescent="0.3"/>
    <row r="106" s="12" customFormat="1" x14ac:dyDescent="0.3"/>
    <row r="107" s="12" customFormat="1" x14ac:dyDescent="0.3"/>
    <row r="108" s="12" customFormat="1" x14ac:dyDescent="0.3"/>
    <row r="109" s="12" customFormat="1" x14ac:dyDescent="0.3"/>
    <row r="110" s="12" customFormat="1" x14ac:dyDescent="0.3"/>
    <row r="111" s="12" customFormat="1" x14ac:dyDescent="0.3"/>
    <row r="112" s="12" customFormat="1" x14ac:dyDescent="0.3"/>
    <row r="113" spans="1:16" s="12" customFormat="1" x14ac:dyDescent="0.3"/>
    <row r="114" spans="1:16" s="12" customFormat="1" x14ac:dyDescent="0.3"/>
    <row r="115" spans="1:16" s="12" customFormat="1" x14ac:dyDescent="0.3"/>
    <row r="116" spans="1:16" s="12" customFormat="1" ht="21" x14ac:dyDescent="0.3">
      <c r="A116" s="33" t="s">
        <v>63</v>
      </c>
    </row>
    <row r="117" spans="1:16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 spans="1:16" x14ac:dyDescent="0.3">
      <c r="A118" s="34"/>
      <c r="B118" s="37">
        <f>'C+8 Dashboard'!F1</f>
        <v>45748</v>
      </c>
      <c r="C118" s="37">
        <f>EDATE(B118,1)</f>
        <v>45778</v>
      </c>
      <c r="D118" s="37">
        <f t="shared" ref="D118:M118" si="0">EDATE(C118,1)</f>
        <v>45809</v>
      </c>
      <c r="E118" s="37">
        <f t="shared" si="0"/>
        <v>45839</v>
      </c>
      <c r="F118" s="37">
        <f t="shared" si="0"/>
        <v>45870</v>
      </c>
      <c r="G118" s="37">
        <f t="shared" si="0"/>
        <v>45901</v>
      </c>
      <c r="H118" s="37">
        <f t="shared" si="0"/>
        <v>45931</v>
      </c>
      <c r="I118" s="37">
        <f t="shared" si="0"/>
        <v>45962</v>
      </c>
      <c r="J118" s="37">
        <f t="shared" si="0"/>
        <v>45992</v>
      </c>
      <c r="K118" s="37">
        <f t="shared" si="0"/>
        <v>46023</v>
      </c>
      <c r="L118" s="37">
        <f t="shared" si="0"/>
        <v>46054</v>
      </c>
      <c r="M118" s="37">
        <f t="shared" si="0"/>
        <v>46082</v>
      </c>
    </row>
    <row r="119" spans="1:16" x14ac:dyDescent="0.3">
      <c r="A119" s="34" t="s">
        <v>61</v>
      </c>
      <c r="B119" s="34">
        <f>COUNTIF('Data-PP1'!$AS:$AS,B$118)</f>
        <v>0</v>
      </c>
      <c r="C119" s="34">
        <f>COUNTIF('Data-PP1'!$AS:$AS,C$118)</f>
        <v>0</v>
      </c>
      <c r="D119" s="34">
        <f>COUNTIF('Data-PP1'!$AS:$AS,D$118)</f>
        <v>0</v>
      </c>
      <c r="E119" s="34">
        <f>COUNTIF('Data-PP1'!$AS:$AS,E$118)</f>
        <v>0</v>
      </c>
      <c r="F119" s="34">
        <f>COUNTIF('Data-PP1'!$AS:$AS,F$118)</f>
        <v>0</v>
      </c>
      <c r="G119" s="34">
        <f>COUNTIF('Data-PP1'!$AS:$AS,G$118)</f>
        <v>0</v>
      </c>
      <c r="H119" s="34">
        <f>COUNTIF('Data-PP1'!$AS:$AS,H$118)</f>
        <v>0</v>
      </c>
      <c r="I119" s="34">
        <f>COUNTIF('Data-PP1'!$AS:$AS,I$118)</f>
        <v>0</v>
      </c>
      <c r="J119" s="34">
        <f>COUNTIF('Data-PP1'!$AS:$AS,J$118)</f>
        <v>0</v>
      </c>
      <c r="K119" s="34">
        <f>COUNTIF('Data-PP1'!$AS:$AS,K$118)</f>
        <v>0</v>
      </c>
      <c r="L119" s="34">
        <f>COUNTIF('Data-PP1'!$AS:$AS,L$118)</f>
        <v>0</v>
      </c>
      <c r="M119" s="34">
        <f>COUNTIF('Data-PP1'!$AS:$AS,M$118)</f>
        <v>0</v>
      </c>
    </row>
    <row r="120" spans="1:16" x14ac:dyDescent="0.3">
      <c r="A120" s="34" t="s">
        <v>62</v>
      </c>
      <c r="B120" s="34">
        <f>COUNTIF('C+8 Data'!$AB:$AB,B$118)</f>
        <v>0</v>
      </c>
      <c r="C120" s="34">
        <f>COUNTIF('C+8 Data'!$AB:$AB,C$118)</f>
        <v>1</v>
      </c>
      <c r="D120" s="34">
        <f>COUNTIF('C+8 Data'!$AB:$AB,D$118)</f>
        <v>0</v>
      </c>
      <c r="E120" s="34">
        <f>COUNTIF('C+8 Data'!$AB:$AB,E$118)</f>
        <v>0</v>
      </c>
      <c r="F120" s="34">
        <f>COUNTIF('C+8 Data'!$AB:$AB,F$118)</f>
        <v>0</v>
      </c>
      <c r="G120" s="34">
        <f>COUNTIF('C+8 Data'!$AB:$AB,G$118)</f>
        <v>0</v>
      </c>
      <c r="H120" s="34">
        <f>COUNTIF('C+8 Data'!$AB:$AB,H$118)</f>
        <v>0</v>
      </c>
      <c r="I120" s="34">
        <f>COUNTIF('C+8 Data'!$AB:$AB,I$118)</f>
        <v>0</v>
      </c>
      <c r="J120" s="34">
        <f>COUNTIF('C+8 Data'!$AB:$AB,J$118)</f>
        <v>0</v>
      </c>
      <c r="K120" s="34">
        <f>COUNTIF('C+8 Data'!$AB:$AB,K$118)</f>
        <v>0</v>
      </c>
      <c r="L120" s="34">
        <f>COUNTIF('C+8 Data'!$AB:$AB,L$118)</f>
        <v>0</v>
      </c>
      <c r="M120" s="34">
        <f>COUNTIF('C+8 Data'!$AB:$AB,M$118)</f>
        <v>0</v>
      </c>
    </row>
    <row r="121" spans="1:16" ht="36.75" customHeight="1" x14ac:dyDescent="0.3">
      <c r="A121" s="38" t="s">
        <v>63</v>
      </c>
      <c r="B121" s="36" t="e">
        <f t="shared" ref="B121:M121" si="1">B120/B119</f>
        <v>#DIV/0!</v>
      </c>
      <c r="C121" s="36" t="e">
        <f t="shared" si="1"/>
        <v>#DIV/0!</v>
      </c>
      <c r="D121" s="36" t="e">
        <f t="shared" si="1"/>
        <v>#DIV/0!</v>
      </c>
      <c r="E121" s="36" t="e">
        <f t="shared" si="1"/>
        <v>#DIV/0!</v>
      </c>
      <c r="F121" s="36" t="e">
        <f t="shared" si="1"/>
        <v>#DIV/0!</v>
      </c>
      <c r="G121" s="36" t="e">
        <f t="shared" si="1"/>
        <v>#DIV/0!</v>
      </c>
      <c r="H121" s="36" t="e">
        <f t="shared" si="1"/>
        <v>#DIV/0!</v>
      </c>
      <c r="I121" s="36" t="e">
        <f>I120/I119</f>
        <v>#DIV/0!</v>
      </c>
      <c r="J121" s="36" t="e">
        <f t="shared" si="1"/>
        <v>#DIV/0!</v>
      </c>
      <c r="K121" s="36" t="e">
        <f>K120/K119</f>
        <v>#DIV/0!</v>
      </c>
      <c r="L121" s="36" t="e">
        <f t="shared" si="1"/>
        <v>#DIV/0!</v>
      </c>
      <c r="M121" s="36" t="e">
        <f t="shared" si="1"/>
        <v>#DIV/0!</v>
      </c>
    </row>
    <row r="122" spans="1:16" ht="35.25" customHeight="1" x14ac:dyDescent="0.3">
      <c r="A122" s="33" t="s">
        <v>79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P122" t="s">
        <v>120</v>
      </c>
    </row>
    <row r="123" spans="1:16" x14ac:dyDescent="0.3">
      <c r="A123" s="34"/>
      <c r="B123" s="37">
        <f>B118</f>
        <v>45748</v>
      </c>
      <c r="C123" s="37">
        <f t="shared" ref="C123:M123" si="2">C118</f>
        <v>45778</v>
      </c>
      <c r="D123" s="37">
        <f t="shared" si="2"/>
        <v>45809</v>
      </c>
      <c r="E123" s="37">
        <f t="shared" si="2"/>
        <v>45839</v>
      </c>
      <c r="F123" s="37">
        <f t="shared" si="2"/>
        <v>45870</v>
      </c>
      <c r="G123" s="37">
        <f t="shared" si="2"/>
        <v>45901</v>
      </c>
      <c r="H123" s="37">
        <f t="shared" si="2"/>
        <v>45931</v>
      </c>
      <c r="I123" s="37">
        <f t="shared" si="2"/>
        <v>45962</v>
      </c>
      <c r="J123" s="37">
        <f t="shared" si="2"/>
        <v>45992</v>
      </c>
      <c r="K123" s="37">
        <f t="shared" si="2"/>
        <v>46023</v>
      </c>
      <c r="L123" s="37">
        <f t="shared" si="2"/>
        <v>46054</v>
      </c>
      <c r="M123" s="37">
        <f t="shared" si="2"/>
        <v>46082</v>
      </c>
    </row>
    <row r="124" spans="1:16" ht="39.6" x14ac:dyDescent="0.3">
      <c r="A124" s="35" t="s">
        <v>6</v>
      </c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</row>
    <row r="125" spans="1:16" x14ac:dyDescent="0.3">
      <c r="A125" s="25" t="s">
        <v>75</v>
      </c>
      <c r="B125" s="36" t="str">
        <f>'C+8 Dashboard'!H63</f>
        <v/>
      </c>
      <c r="C125" s="36">
        <f>'C+8 Dashboard'!K63</f>
        <v>0</v>
      </c>
      <c r="D125" s="36" t="str">
        <f>'C+8 Dashboard'!N63</f>
        <v/>
      </c>
      <c r="E125" s="36" t="str">
        <f>'C+8 Dashboard'!Q63</f>
        <v/>
      </c>
      <c r="F125" s="36" t="str">
        <f>'C+8 Dashboard'!T63</f>
        <v/>
      </c>
      <c r="G125" s="36" t="str">
        <f>'C+8 Dashboard'!W63</f>
        <v/>
      </c>
      <c r="H125" s="36" t="str">
        <f>'C+8 Dashboard'!Z63</f>
        <v/>
      </c>
      <c r="I125" s="36" t="str">
        <f>'C+8 Dashboard'!AC63</f>
        <v/>
      </c>
      <c r="J125" s="36" t="str">
        <f>'C+8 Dashboard'!AF63</f>
        <v/>
      </c>
      <c r="K125" s="36" t="str">
        <f>'C+8 Dashboard'!AI63</f>
        <v/>
      </c>
      <c r="L125" s="36" t="str">
        <f>'C+8 Dashboard'!AL63</f>
        <v/>
      </c>
      <c r="M125" s="36" t="str">
        <f>'C+8 Dashboard'!AO63</f>
        <v/>
      </c>
    </row>
    <row r="126" spans="1:16" x14ac:dyDescent="0.3">
      <c r="A126" s="25" t="s">
        <v>74</v>
      </c>
      <c r="B126" s="36" t="str">
        <f>'C+8 Dashboard'!H62</f>
        <v/>
      </c>
      <c r="C126" s="36">
        <f>'C+8 Dashboard'!K62</f>
        <v>1</v>
      </c>
      <c r="D126" s="36" t="str">
        <f>'C+8 Dashboard'!N62</f>
        <v/>
      </c>
      <c r="E126" s="36" t="str">
        <f>'C+8 Dashboard'!Q62</f>
        <v/>
      </c>
      <c r="F126" s="36" t="str">
        <f>'C+8 Dashboard'!T62</f>
        <v/>
      </c>
      <c r="G126" s="36" t="str">
        <f>'C+8 Dashboard'!W62</f>
        <v/>
      </c>
      <c r="H126" s="36" t="str">
        <f>'C+8 Dashboard'!Z62</f>
        <v/>
      </c>
      <c r="I126" s="36" t="str">
        <f>'C+8 Dashboard'!AC62</f>
        <v/>
      </c>
      <c r="J126" s="36" t="str">
        <f>'C+8 Dashboard'!AF62</f>
        <v/>
      </c>
      <c r="K126" s="36" t="str">
        <f>'C+8 Dashboard'!AI62</f>
        <v/>
      </c>
      <c r="L126" s="36" t="str">
        <f>'C+8 Dashboard'!AL62</f>
        <v/>
      </c>
      <c r="M126" s="36" t="str">
        <f>'C+8 Dashboard'!AO62</f>
        <v/>
      </c>
    </row>
    <row r="127" spans="1:16" x14ac:dyDescent="0.3">
      <c r="A127" s="25" t="s">
        <v>76</v>
      </c>
      <c r="B127" s="36" t="str">
        <f>'C+8 Dashboard'!H64</f>
        <v/>
      </c>
      <c r="C127" s="36">
        <f>'C+8 Dashboard'!K64</f>
        <v>0</v>
      </c>
      <c r="D127" s="36" t="str">
        <f>'C+8 Dashboard'!N64</f>
        <v/>
      </c>
      <c r="E127" s="36" t="str">
        <f>'C+8 Dashboard'!Q64</f>
        <v/>
      </c>
      <c r="F127" s="36" t="str">
        <f>'C+8 Dashboard'!T64</f>
        <v/>
      </c>
      <c r="G127" s="36" t="str">
        <f>'C+8 Dashboard'!W64</f>
        <v/>
      </c>
      <c r="H127" s="36" t="str">
        <f>'C+8 Dashboard'!Z64</f>
        <v/>
      </c>
      <c r="I127" s="36" t="str">
        <f>'C+8 Dashboard'!AC64</f>
        <v/>
      </c>
      <c r="J127" s="36" t="str">
        <f>'C+8 Dashboard'!AF64</f>
        <v/>
      </c>
      <c r="K127" s="36" t="str">
        <f>'C+8 Dashboard'!AI64</f>
        <v/>
      </c>
      <c r="L127" s="36" t="str">
        <f>'C+8 Dashboard'!AL64</f>
        <v/>
      </c>
      <c r="M127" s="36" t="str">
        <f>'C+8 Dashboard'!AO64</f>
        <v/>
      </c>
    </row>
    <row r="128" spans="1:16" x14ac:dyDescent="0.3">
      <c r="A128" s="25" t="s">
        <v>77</v>
      </c>
      <c r="B128" s="36" t="str">
        <f>'C+8 Dashboard'!H65</f>
        <v/>
      </c>
      <c r="C128" s="36">
        <f>'C+8 Dashboard'!K65</f>
        <v>0</v>
      </c>
      <c r="D128" s="36" t="str">
        <f>'C+8 Dashboard'!N65</f>
        <v/>
      </c>
      <c r="E128" s="36" t="str">
        <f>'C+8 Dashboard'!Q65</f>
        <v/>
      </c>
      <c r="F128" s="36" t="str">
        <f>'C+8 Dashboard'!T65</f>
        <v/>
      </c>
      <c r="G128" s="36" t="str">
        <f>'C+8 Dashboard'!W65</f>
        <v/>
      </c>
      <c r="H128" s="36" t="str">
        <f>'C+8 Dashboard'!Z65</f>
        <v/>
      </c>
      <c r="I128" s="36" t="str">
        <f>'C+8 Dashboard'!AC65</f>
        <v/>
      </c>
      <c r="J128" s="36" t="str">
        <f>'C+8 Dashboard'!AF65</f>
        <v/>
      </c>
      <c r="K128" s="36" t="str">
        <f>'C+8 Dashboard'!AI65</f>
        <v/>
      </c>
      <c r="L128" s="36" t="str">
        <f>'C+8 Dashboard'!AL65</f>
        <v/>
      </c>
      <c r="M128" s="36" t="str">
        <f>'C+8 Dashboard'!AO65</f>
        <v/>
      </c>
    </row>
    <row r="129" spans="1:13" x14ac:dyDescent="0.3">
      <c r="A129" s="25" t="s">
        <v>78</v>
      </c>
      <c r="B129" s="36" t="str">
        <f>'C+8 Dashboard'!H66</f>
        <v/>
      </c>
      <c r="C129" s="36">
        <f>'C+8 Dashboard'!K66</f>
        <v>0</v>
      </c>
      <c r="D129" s="36" t="str">
        <f>'C+8 Dashboard'!N66</f>
        <v/>
      </c>
      <c r="E129" s="36" t="str">
        <f>'C+8 Dashboard'!Q66</f>
        <v/>
      </c>
      <c r="F129" s="36" t="str">
        <f>'C+8 Dashboard'!T66</f>
        <v/>
      </c>
      <c r="G129" s="36" t="str">
        <f>'C+8 Dashboard'!W66</f>
        <v/>
      </c>
      <c r="H129" s="36" t="str">
        <f>'C+8 Dashboard'!Z66</f>
        <v/>
      </c>
      <c r="I129" s="36" t="str">
        <f>'C+8 Dashboard'!AC66</f>
        <v/>
      </c>
      <c r="J129" s="36" t="str">
        <f>'C+8 Dashboard'!AF66</f>
        <v/>
      </c>
      <c r="K129" s="36" t="str">
        <f>'C+8 Dashboard'!AI66</f>
        <v/>
      </c>
      <c r="L129" s="36" t="str">
        <f>'C+8 Dashboard'!AL66</f>
        <v/>
      </c>
      <c r="M129" s="36" t="str">
        <f>'C+8 Dashboard'!AO66</f>
        <v/>
      </c>
    </row>
    <row r="131" spans="1:13" ht="21" x14ac:dyDescent="0.3">
      <c r="A131" s="33" t="s">
        <v>21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spans="1:13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spans="1:13" x14ac:dyDescent="0.3">
      <c r="A133" s="34"/>
      <c r="B133" s="37">
        <f>B118</f>
        <v>45748</v>
      </c>
      <c r="C133" s="37">
        <f t="shared" ref="C133:M133" si="3">C118</f>
        <v>45778</v>
      </c>
      <c r="D133" s="37">
        <f t="shared" si="3"/>
        <v>45809</v>
      </c>
      <c r="E133" s="37">
        <f t="shared" si="3"/>
        <v>45839</v>
      </c>
      <c r="F133" s="37">
        <f t="shared" si="3"/>
        <v>45870</v>
      </c>
      <c r="G133" s="37">
        <f t="shared" si="3"/>
        <v>45901</v>
      </c>
      <c r="H133" s="37">
        <f t="shared" si="3"/>
        <v>45931</v>
      </c>
      <c r="I133" s="37">
        <f t="shared" si="3"/>
        <v>45962</v>
      </c>
      <c r="J133" s="37">
        <f t="shared" si="3"/>
        <v>45992</v>
      </c>
      <c r="K133" s="37">
        <f t="shared" si="3"/>
        <v>46023</v>
      </c>
      <c r="L133" s="37">
        <f t="shared" si="3"/>
        <v>46054</v>
      </c>
      <c r="M133" s="37">
        <f t="shared" si="3"/>
        <v>46082</v>
      </c>
    </row>
    <row r="134" spans="1:13" ht="52.8" x14ac:dyDescent="0.3">
      <c r="A134" s="35" t="s">
        <v>21</v>
      </c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</row>
    <row r="135" spans="1:13" x14ac:dyDescent="0.3">
      <c r="A135" s="25" t="s">
        <v>23</v>
      </c>
      <c r="B135" s="36" t="str">
        <f>'C+8 Dashboard'!H69</f>
        <v/>
      </c>
      <c r="C135" s="36">
        <f>'C+8 Dashboard'!K69</f>
        <v>0</v>
      </c>
      <c r="D135" s="36" t="str">
        <f>'C+8 Dashboard'!N69</f>
        <v/>
      </c>
      <c r="E135" s="36" t="str">
        <f>'C+8 Dashboard'!Q69</f>
        <v/>
      </c>
      <c r="F135" s="36" t="str">
        <f>'C+8 Dashboard'!T69</f>
        <v/>
      </c>
      <c r="G135" s="36" t="str">
        <f>'C+8 Dashboard'!W69</f>
        <v/>
      </c>
      <c r="H135" s="36" t="str">
        <f>'C+8 Dashboard'!Z69</f>
        <v/>
      </c>
      <c r="I135" s="36" t="str">
        <f>'C+8 Dashboard'!AC69</f>
        <v/>
      </c>
      <c r="J135" s="36" t="str">
        <f>'C+8 Dashboard'!AF69</f>
        <v/>
      </c>
      <c r="K135" s="36" t="str">
        <f>'C+8 Dashboard'!AI69</f>
        <v/>
      </c>
      <c r="L135" s="36" t="str">
        <f>'C+8 Dashboard'!AL69</f>
        <v/>
      </c>
      <c r="M135" s="36" t="str">
        <f>'C+8 Dashboard'!AO69</f>
        <v/>
      </c>
    </row>
    <row r="136" spans="1:13" x14ac:dyDescent="0.3">
      <c r="A136" s="25" t="s">
        <v>22</v>
      </c>
      <c r="B136" s="36" t="str">
        <f>'C+8 Dashboard'!H68</f>
        <v/>
      </c>
      <c r="C136" s="36">
        <f>'C+8 Dashboard'!K68</f>
        <v>1</v>
      </c>
      <c r="D136" s="36" t="str">
        <f>'C+8 Dashboard'!N68</f>
        <v/>
      </c>
      <c r="E136" s="36" t="str">
        <f>'C+8 Dashboard'!Q68</f>
        <v/>
      </c>
      <c r="F136" s="36" t="str">
        <f>'C+8 Dashboard'!T68</f>
        <v/>
      </c>
      <c r="G136" s="36" t="str">
        <f>'C+8 Dashboard'!W68</f>
        <v/>
      </c>
      <c r="H136" s="36" t="str">
        <f>'C+8 Dashboard'!Z68</f>
        <v/>
      </c>
      <c r="I136" s="36" t="str">
        <f>'C+8 Dashboard'!AC68</f>
        <v/>
      </c>
      <c r="J136" s="36" t="str">
        <f>'C+8 Dashboard'!AF68</f>
        <v/>
      </c>
      <c r="K136" s="36" t="str">
        <f>'C+8 Dashboard'!AI68</f>
        <v/>
      </c>
      <c r="L136" s="36" t="str">
        <f>'C+8 Dashboard'!AL68</f>
        <v/>
      </c>
      <c r="M136" s="36" t="str">
        <f>'C+8 Dashboard'!AO68</f>
        <v/>
      </c>
    </row>
    <row r="137" spans="1:13" ht="69.75" customHeight="1" x14ac:dyDescent="0.3">
      <c r="A137" s="25" t="s">
        <v>24</v>
      </c>
      <c r="B137" s="36" t="str">
        <f>'C+8 Dashboard'!H70</f>
        <v/>
      </c>
      <c r="C137" s="36">
        <f>'C+8 Dashboard'!K70</f>
        <v>0</v>
      </c>
      <c r="D137" s="36" t="str">
        <f>'C+8 Dashboard'!N70</f>
        <v/>
      </c>
      <c r="E137" s="36" t="str">
        <f>'C+8 Dashboard'!Q70</f>
        <v/>
      </c>
      <c r="F137" s="36" t="str">
        <f>'C+8 Dashboard'!T70</f>
        <v/>
      </c>
      <c r="G137" s="36" t="str">
        <f>'C+8 Dashboard'!W70</f>
        <v/>
      </c>
      <c r="H137" s="36" t="str">
        <f>'C+8 Dashboard'!Z70</f>
        <v/>
      </c>
      <c r="I137" s="36" t="str">
        <f>'C+8 Dashboard'!AC70</f>
        <v/>
      </c>
      <c r="J137" s="36" t="str">
        <f>'C+8 Dashboard'!AF70</f>
        <v/>
      </c>
      <c r="K137" s="36" t="str">
        <f>'C+8 Dashboard'!AI70</f>
        <v/>
      </c>
      <c r="L137" s="36" t="str">
        <f>'C+8 Dashboard'!AL70</f>
        <v/>
      </c>
      <c r="M137" s="36" t="str">
        <f>'C+8 Dashboard'!AO70</f>
        <v/>
      </c>
    </row>
    <row r="138" spans="1:13" x14ac:dyDescent="0.3">
      <c r="A138" s="25" t="s">
        <v>25</v>
      </c>
      <c r="B138" s="36" t="str">
        <f>'C+8 Dashboard'!H71</f>
        <v/>
      </c>
      <c r="C138" s="36">
        <f>'C+8 Dashboard'!K71</f>
        <v>0</v>
      </c>
      <c r="D138" s="36" t="str">
        <f>'C+8 Dashboard'!N71</f>
        <v/>
      </c>
      <c r="E138" s="36" t="str">
        <f>'C+8 Dashboard'!Q71</f>
        <v/>
      </c>
      <c r="F138" s="36" t="str">
        <f>'C+8 Dashboard'!T71</f>
        <v/>
      </c>
      <c r="G138" s="36" t="str">
        <f>'C+8 Dashboard'!W71</f>
        <v/>
      </c>
      <c r="H138" s="36" t="str">
        <f>'C+8 Dashboard'!Z71</f>
        <v/>
      </c>
      <c r="I138" s="36" t="str">
        <f>'C+8 Dashboard'!AC71</f>
        <v/>
      </c>
      <c r="J138" s="36" t="str">
        <f>'C+8 Dashboard'!AF71</f>
        <v/>
      </c>
      <c r="K138" s="36" t="str">
        <f>'C+8 Dashboard'!AI71</f>
        <v/>
      </c>
      <c r="L138" s="36" t="str">
        <f>'C+8 Dashboard'!AL71</f>
        <v/>
      </c>
      <c r="M138" s="36" t="str">
        <f>'C+8 Dashboard'!AO71</f>
        <v/>
      </c>
    </row>
    <row r="139" spans="1:13" x14ac:dyDescent="0.3">
      <c r="A139" s="25" t="s">
        <v>26</v>
      </c>
      <c r="B139" s="36" t="str">
        <f>'C+8 Dashboard'!H72</f>
        <v/>
      </c>
      <c r="C139" s="36">
        <f>'C+8 Dashboard'!K72</f>
        <v>0</v>
      </c>
      <c r="D139" s="36" t="str">
        <f>'C+8 Dashboard'!N72</f>
        <v/>
      </c>
      <c r="E139" s="36" t="str">
        <f>'C+8 Dashboard'!Q72</f>
        <v/>
      </c>
      <c r="F139" s="36" t="str">
        <f>'C+8 Dashboard'!T72</f>
        <v/>
      </c>
      <c r="G139" s="36" t="str">
        <f>'C+8 Dashboard'!W72</f>
        <v/>
      </c>
      <c r="H139" s="36" t="str">
        <f>'C+8 Dashboard'!Z72</f>
        <v/>
      </c>
      <c r="I139" s="36" t="str">
        <f>'C+8 Dashboard'!AC72</f>
        <v/>
      </c>
      <c r="J139" s="36" t="str">
        <f>'C+8 Dashboard'!AF72</f>
        <v/>
      </c>
      <c r="K139" s="36" t="str">
        <f>'C+8 Dashboard'!AI72</f>
        <v/>
      </c>
      <c r="L139" s="36" t="str">
        <f>'C+8 Dashboard'!AL72</f>
        <v/>
      </c>
      <c r="M139" s="36" t="str">
        <f>'C+8 Dashboard'!AO72</f>
        <v/>
      </c>
    </row>
    <row r="140" spans="1:13" ht="21" x14ac:dyDescent="0.3">
      <c r="A140" s="33" t="s">
        <v>6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spans="1:13" x14ac:dyDescent="0.3">
      <c r="A142" s="34"/>
      <c r="B142" s="37">
        <f>B118</f>
        <v>45748</v>
      </c>
      <c r="C142" s="37">
        <f t="shared" ref="C142:M142" si="4">C118</f>
        <v>45778</v>
      </c>
      <c r="D142" s="37">
        <f t="shared" si="4"/>
        <v>45809</v>
      </c>
      <c r="E142" s="37">
        <f t="shared" si="4"/>
        <v>45839</v>
      </c>
      <c r="F142" s="37">
        <f t="shared" si="4"/>
        <v>45870</v>
      </c>
      <c r="G142" s="37">
        <f t="shared" si="4"/>
        <v>45901</v>
      </c>
      <c r="H142" s="37">
        <f t="shared" si="4"/>
        <v>45931</v>
      </c>
      <c r="I142" s="37">
        <f t="shared" si="4"/>
        <v>45962</v>
      </c>
      <c r="J142" s="37">
        <f t="shared" si="4"/>
        <v>45992</v>
      </c>
      <c r="K142" s="37">
        <f t="shared" si="4"/>
        <v>46023</v>
      </c>
      <c r="L142" s="37">
        <f t="shared" si="4"/>
        <v>46054</v>
      </c>
      <c r="M142" s="37">
        <f t="shared" si="4"/>
        <v>46082</v>
      </c>
    </row>
    <row r="143" spans="1:13" ht="39.6" x14ac:dyDescent="0.3">
      <c r="A143" s="35" t="s">
        <v>6</v>
      </c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</row>
    <row r="144" spans="1:13" x14ac:dyDescent="0.3">
      <c r="A144" s="25" t="s">
        <v>75</v>
      </c>
      <c r="B144" s="36" t="str">
        <f>'C+8 Dashboard'!H57</f>
        <v/>
      </c>
      <c r="C144" s="36">
        <f>'C+8 Dashboard'!K57</f>
        <v>0</v>
      </c>
      <c r="D144" s="36" t="str">
        <f>'C+8 Dashboard'!N57</f>
        <v/>
      </c>
      <c r="E144" s="36" t="str">
        <f>'C+8 Dashboard'!Q57</f>
        <v/>
      </c>
      <c r="F144" s="36" t="str">
        <f>'C+8 Dashboard'!T57</f>
        <v/>
      </c>
      <c r="G144" s="36" t="str">
        <f>'C+8 Dashboard'!W57</f>
        <v/>
      </c>
      <c r="H144" s="36" t="str">
        <f>'C+8 Dashboard'!Z57</f>
        <v/>
      </c>
      <c r="I144" s="36" t="str">
        <f>'C+8 Dashboard'!AC57</f>
        <v/>
      </c>
      <c r="J144" s="36" t="str">
        <f>'C+8 Dashboard'!AF57</f>
        <v/>
      </c>
      <c r="K144" s="36" t="str">
        <f>'C+8 Dashboard'!AI57</f>
        <v/>
      </c>
      <c r="L144" s="36" t="str">
        <f>'C+8 Dashboard'!AL57</f>
        <v/>
      </c>
      <c r="M144" s="36" t="str">
        <f>'C+8 Dashboard'!AO57</f>
        <v/>
      </c>
    </row>
    <row r="145" spans="1:13" x14ac:dyDescent="0.3">
      <c r="A145" s="25" t="s">
        <v>74</v>
      </c>
      <c r="B145" s="36" t="str">
        <f>'C+8 Dashboard'!H56</f>
        <v/>
      </c>
      <c r="C145" s="36">
        <f>'C+8 Dashboard'!K56</f>
        <v>1</v>
      </c>
      <c r="D145" s="36" t="str">
        <f>'C+8 Dashboard'!N56</f>
        <v/>
      </c>
      <c r="E145" s="36" t="str">
        <f>'C+8 Dashboard'!Q56</f>
        <v/>
      </c>
      <c r="F145" s="36" t="str">
        <f>'C+8 Dashboard'!T56</f>
        <v/>
      </c>
      <c r="G145" s="36" t="str">
        <f>'C+8 Dashboard'!W56</f>
        <v/>
      </c>
      <c r="H145" s="36" t="str">
        <f>'C+8 Dashboard'!Z56</f>
        <v/>
      </c>
      <c r="I145" s="36" t="str">
        <f>'C+8 Dashboard'!AC56</f>
        <v/>
      </c>
      <c r="J145" s="36" t="str">
        <f>'C+8 Dashboard'!AF56</f>
        <v/>
      </c>
      <c r="K145" s="36" t="str">
        <f>'C+8 Dashboard'!AI56</f>
        <v/>
      </c>
      <c r="L145" s="36" t="str">
        <f>'C+8 Dashboard'!AL56</f>
        <v/>
      </c>
      <c r="M145" s="36" t="str">
        <f>'C+8 Dashboard'!AO56</f>
        <v/>
      </c>
    </row>
    <row r="146" spans="1:13" x14ac:dyDescent="0.3">
      <c r="A146" s="25" t="s">
        <v>76</v>
      </c>
      <c r="B146" s="36" t="str">
        <f>'C+8 Dashboard'!H58</f>
        <v/>
      </c>
      <c r="C146" s="36">
        <f>'C+8 Dashboard'!K58</f>
        <v>0</v>
      </c>
      <c r="D146" s="36" t="str">
        <f>'C+8 Dashboard'!N58</f>
        <v/>
      </c>
      <c r="E146" s="36" t="str">
        <f>'C+8 Dashboard'!Q58</f>
        <v/>
      </c>
      <c r="F146" s="36" t="str">
        <f>'C+8 Dashboard'!T58</f>
        <v/>
      </c>
      <c r="G146" s="36" t="str">
        <f>'C+8 Dashboard'!W58</f>
        <v/>
      </c>
      <c r="H146" s="36" t="str">
        <f>'C+8 Dashboard'!Z58</f>
        <v/>
      </c>
      <c r="I146" s="36" t="str">
        <f>'C+8 Dashboard'!AC58</f>
        <v/>
      </c>
      <c r="J146" s="36" t="str">
        <f>'C+8 Dashboard'!AF58</f>
        <v/>
      </c>
      <c r="K146" s="36" t="str">
        <f>'C+8 Dashboard'!AI58</f>
        <v/>
      </c>
      <c r="L146" s="36" t="str">
        <f>'C+8 Dashboard'!AL58</f>
        <v/>
      </c>
      <c r="M146" s="36" t="str">
        <f>'C+8 Dashboard'!AO58</f>
        <v/>
      </c>
    </row>
    <row r="147" spans="1:13" x14ac:dyDescent="0.3">
      <c r="A147" s="25" t="s">
        <v>77</v>
      </c>
      <c r="B147" s="36" t="str">
        <f>'C+8 Dashboard'!H59</f>
        <v/>
      </c>
      <c r="C147" s="36">
        <f>'C+8 Dashboard'!K59</f>
        <v>0</v>
      </c>
      <c r="D147" s="36" t="str">
        <f>'C+8 Dashboard'!N59</f>
        <v/>
      </c>
      <c r="E147" s="36" t="str">
        <f>'C+8 Dashboard'!Q59</f>
        <v/>
      </c>
      <c r="F147" s="36" t="str">
        <f>'C+8 Dashboard'!T59</f>
        <v/>
      </c>
      <c r="G147" s="36" t="str">
        <f>'C+8 Dashboard'!W59</f>
        <v/>
      </c>
      <c r="H147" s="36" t="str">
        <f>'C+8 Dashboard'!Z59</f>
        <v/>
      </c>
      <c r="I147" s="36" t="str">
        <f>'C+8 Dashboard'!AC59</f>
        <v/>
      </c>
      <c r="J147" s="36" t="str">
        <f>'C+8 Dashboard'!AF59</f>
        <v/>
      </c>
      <c r="K147" s="36" t="str">
        <f>'C+8 Dashboard'!AI59</f>
        <v/>
      </c>
      <c r="L147" s="36" t="str">
        <f>'C+8 Dashboard'!AL59</f>
        <v/>
      </c>
      <c r="M147" s="36" t="str">
        <f>'C+8 Dashboard'!AO59</f>
        <v/>
      </c>
    </row>
    <row r="148" spans="1:13" x14ac:dyDescent="0.3">
      <c r="A148" s="25" t="s">
        <v>78</v>
      </c>
      <c r="B148" s="36" t="str">
        <f>'C+8 Dashboard'!H60</f>
        <v/>
      </c>
      <c r="C148" s="36">
        <f>'C+8 Dashboard'!K60</f>
        <v>0</v>
      </c>
      <c r="D148" s="36" t="str">
        <f>'C+8 Dashboard'!N60</f>
        <v/>
      </c>
      <c r="E148" s="36" t="str">
        <f>'C+8 Dashboard'!Q60</f>
        <v/>
      </c>
      <c r="F148" s="36" t="str">
        <f>'C+8 Dashboard'!T60</f>
        <v/>
      </c>
      <c r="G148" s="36" t="str">
        <f>'C+8 Dashboard'!W60</f>
        <v/>
      </c>
      <c r="H148" s="36" t="str">
        <f>'C+8 Dashboard'!Z60</f>
        <v/>
      </c>
      <c r="I148" s="36" t="str">
        <f>'C+8 Dashboard'!AC60</f>
        <v/>
      </c>
      <c r="J148" s="36" t="str">
        <f>'C+8 Dashboard'!AF60</f>
        <v/>
      </c>
      <c r="K148" s="36" t="str">
        <f>'C+8 Dashboard'!AI60</f>
        <v/>
      </c>
      <c r="L148" s="36" t="str">
        <f>'C+8 Dashboard'!AL60</f>
        <v/>
      </c>
      <c r="M148" s="36" t="str">
        <f>'C+8 Dashboard'!AO60</f>
        <v/>
      </c>
    </row>
    <row r="149" spans="1:13" ht="21" x14ac:dyDescent="0.3">
      <c r="A149" s="33" t="s">
        <v>4</v>
      </c>
    </row>
    <row r="150" spans="1:13" x14ac:dyDescent="0.3">
      <c r="A150" s="8"/>
      <c r="B150" s="37">
        <f>B118</f>
        <v>45748</v>
      </c>
      <c r="C150" s="37">
        <f t="shared" ref="C150:M150" si="5">C118</f>
        <v>45778</v>
      </c>
      <c r="D150" s="37">
        <f t="shared" si="5"/>
        <v>45809</v>
      </c>
      <c r="E150" s="37">
        <f t="shared" si="5"/>
        <v>45839</v>
      </c>
      <c r="F150" s="37">
        <f t="shared" si="5"/>
        <v>45870</v>
      </c>
      <c r="G150" s="37">
        <f t="shared" si="5"/>
        <v>45901</v>
      </c>
      <c r="H150" s="37">
        <f t="shared" si="5"/>
        <v>45931</v>
      </c>
      <c r="I150" s="37">
        <f t="shared" si="5"/>
        <v>45962</v>
      </c>
      <c r="J150" s="37">
        <f t="shared" si="5"/>
        <v>45992</v>
      </c>
      <c r="K150" s="37">
        <f t="shared" si="5"/>
        <v>46023</v>
      </c>
      <c r="L150" s="37">
        <f t="shared" si="5"/>
        <v>46054</v>
      </c>
      <c r="M150" s="37">
        <f t="shared" si="5"/>
        <v>46082</v>
      </c>
    </row>
    <row r="151" spans="1:13" ht="39.6" x14ac:dyDescent="0.3">
      <c r="A151" s="39" t="s">
        <v>4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spans="1:13" x14ac:dyDescent="0.3">
      <c r="A152" s="25" t="s">
        <v>75</v>
      </c>
      <c r="B152" s="9" t="str">
        <f>'C+8 Dashboard'!H5</f>
        <v/>
      </c>
      <c r="C152" s="9">
        <f>'C+8 Dashboard'!K5</f>
        <v>0</v>
      </c>
      <c r="D152" s="9" t="str">
        <f>'C+8 Dashboard'!N5</f>
        <v/>
      </c>
      <c r="E152" s="9" t="str">
        <f>'C+8 Dashboard'!Q5</f>
        <v/>
      </c>
      <c r="F152" s="9" t="str">
        <f>'C+8 Dashboard'!T5</f>
        <v/>
      </c>
      <c r="G152" s="9" t="str">
        <f>'C+8 Dashboard'!W5</f>
        <v/>
      </c>
      <c r="H152" s="9" t="str">
        <f>'C+8 Dashboard'!Z5</f>
        <v/>
      </c>
      <c r="I152" s="9" t="str">
        <f>'C+8 Dashboard'!AC5</f>
        <v/>
      </c>
      <c r="J152" s="9" t="str">
        <f>'C+8 Dashboard'!AF5</f>
        <v/>
      </c>
      <c r="K152" s="9" t="str">
        <f>'C+8 Dashboard'!AI5</f>
        <v/>
      </c>
      <c r="L152" s="9" t="str">
        <f>'C+8 Dashboard'!AL5</f>
        <v/>
      </c>
      <c r="M152" s="9" t="str">
        <f>'C+8 Dashboard'!AO5</f>
        <v/>
      </c>
    </row>
    <row r="153" spans="1:13" x14ac:dyDescent="0.3">
      <c r="A153" s="25" t="s">
        <v>74</v>
      </c>
      <c r="B153" s="9" t="str">
        <f>'C+8 Dashboard'!H4</f>
        <v/>
      </c>
      <c r="C153" s="9">
        <f>'C+8 Dashboard'!K4</f>
        <v>1</v>
      </c>
      <c r="D153" s="9" t="str">
        <f>'C+8 Dashboard'!N4</f>
        <v/>
      </c>
      <c r="E153" s="9" t="str">
        <f>'C+8 Dashboard'!Q4</f>
        <v/>
      </c>
      <c r="F153" s="9" t="str">
        <f>'C+8 Dashboard'!T4</f>
        <v/>
      </c>
      <c r="G153" s="9" t="str">
        <f>'C+8 Dashboard'!W4</f>
        <v/>
      </c>
      <c r="H153" s="9" t="str">
        <f>'C+8 Dashboard'!Z4</f>
        <v/>
      </c>
      <c r="I153" s="9" t="str">
        <f>'C+8 Dashboard'!AC4</f>
        <v/>
      </c>
      <c r="J153" s="9" t="str">
        <f>'C+8 Dashboard'!AF4</f>
        <v/>
      </c>
      <c r="K153" s="9" t="str">
        <f>'C+8 Dashboard'!AI4</f>
        <v/>
      </c>
      <c r="L153" s="9" t="str">
        <f>'C+8 Dashboard'!AL4</f>
        <v/>
      </c>
      <c r="M153" s="9" t="str">
        <f>'C+8 Dashboard'!AO4</f>
        <v/>
      </c>
    </row>
    <row r="154" spans="1:13" x14ac:dyDescent="0.3">
      <c r="A154" s="25" t="s">
        <v>76</v>
      </c>
      <c r="B154" s="9" t="str">
        <f>'C+8 Dashboard'!H6</f>
        <v/>
      </c>
      <c r="C154" s="9">
        <f>'C+8 Dashboard'!K6</f>
        <v>0</v>
      </c>
      <c r="D154" s="9" t="str">
        <f>'C+8 Dashboard'!N6</f>
        <v/>
      </c>
      <c r="E154" s="9" t="str">
        <f>'C+8 Dashboard'!Q6</f>
        <v/>
      </c>
      <c r="F154" s="9" t="str">
        <f>'C+8 Dashboard'!T6</f>
        <v/>
      </c>
      <c r="G154" s="9" t="str">
        <f>'C+8 Dashboard'!W6</f>
        <v/>
      </c>
      <c r="H154" s="9" t="str">
        <f>'C+8 Dashboard'!Z6</f>
        <v/>
      </c>
      <c r="I154" s="9" t="str">
        <f>'C+8 Dashboard'!AC6</f>
        <v/>
      </c>
      <c r="J154" s="9" t="str">
        <f>'C+8 Dashboard'!AF6</f>
        <v/>
      </c>
      <c r="K154" s="9" t="str">
        <f>'C+8 Dashboard'!AI6</f>
        <v/>
      </c>
      <c r="L154" s="9" t="str">
        <f>'C+8 Dashboard'!AL6</f>
        <v/>
      </c>
      <c r="M154" s="9" t="str">
        <f>'C+8 Dashboard'!AO6</f>
        <v/>
      </c>
    </row>
    <row r="155" spans="1:13" x14ac:dyDescent="0.3">
      <c r="A155" s="25" t="s">
        <v>77</v>
      </c>
      <c r="B155" s="9" t="str">
        <f>'C+8 Dashboard'!H7</f>
        <v/>
      </c>
      <c r="C155" s="9">
        <f>'C+8 Dashboard'!K7</f>
        <v>0</v>
      </c>
      <c r="D155" s="9" t="str">
        <f>'C+8 Dashboard'!N7</f>
        <v/>
      </c>
      <c r="E155" s="9" t="str">
        <f>'C+8 Dashboard'!Q7</f>
        <v/>
      </c>
      <c r="F155" s="9" t="str">
        <f>'C+8 Dashboard'!T7</f>
        <v/>
      </c>
      <c r="G155" s="9" t="str">
        <f>'C+8 Dashboard'!W7</f>
        <v/>
      </c>
      <c r="H155" s="9" t="str">
        <f>'C+8 Dashboard'!Z7</f>
        <v/>
      </c>
      <c r="I155" s="9" t="str">
        <f>'C+8 Dashboard'!AC7</f>
        <v/>
      </c>
      <c r="J155" s="9" t="str">
        <f>'C+8 Dashboard'!AF7</f>
        <v/>
      </c>
      <c r="K155" s="9" t="str">
        <f>'C+8 Dashboard'!AI7</f>
        <v/>
      </c>
      <c r="L155" s="9" t="str">
        <f>'C+8 Dashboard'!AL7</f>
        <v/>
      </c>
      <c r="M155" s="9" t="str">
        <f>'C+8 Dashboard'!AO7</f>
        <v/>
      </c>
    </row>
    <row r="156" spans="1:13" x14ac:dyDescent="0.3">
      <c r="A156" s="25" t="s">
        <v>78</v>
      </c>
      <c r="B156" s="9" t="str">
        <f>'C+8 Dashboard'!H8</f>
        <v/>
      </c>
      <c r="C156" s="9">
        <f>'C+8 Dashboard'!K8</f>
        <v>0</v>
      </c>
      <c r="D156" s="9" t="str">
        <f>'C+8 Dashboard'!N8</f>
        <v/>
      </c>
      <c r="E156" s="9" t="str">
        <f>'C+8 Dashboard'!Q8</f>
        <v/>
      </c>
      <c r="F156" s="9" t="str">
        <f>'C+8 Dashboard'!T8</f>
        <v/>
      </c>
      <c r="G156" s="9" t="str">
        <f>'C+8 Dashboard'!W8</f>
        <v/>
      </c>
      <c r="H156" s="9" t="str">
        <f>'C+8 Dashboard'!Z8</f>
        <v/>
      </c>
      <c r="I156" s="9" t="str">
        <f>'C+8 Dashboard'!AC8</f>
        <v/>
      </c>
      <c r="J156" s="9" t="str">
        <f>'C+8 Dashboard'!AF8</f>
        <v/>
      </c>
      <c r="K156" s="9" t="str">
        <f>'C+8 Dashboard'!AI8</f>
        <v/>
      </c>
      <c r="L156" s="9" t="str">
        <f>'C+8 Dashboard'!AL8</f>
        <v/>
      </c>
      <c r="M156" s="9" t="str">
        <f>'C+8 Dashboard'!AO8</f>
        <v/>
      </c>
    </row>
    <row r="157" spans="1:13" ht="21" x14ac:dyDescent="0.3">
      <c r="A157" s="33" t="s">
        <v>5</v>
      </c>
    </row>
    <row r="158" spans="1:13" x14ac:dyDescent="0.3">
      <c r="A158" s="8"/>
      <c r="B158" s="37">
        <f>B118</f>
        <v>45748</v>
      </c>
      <c r="C158" s="37">
        <f t="shared" ref="C158:M158" si="6">C118</f>
        <v>45778</v>
      </c>
      <c r="D158" s="37">
        <f t="shared" si="6"/>
        <v>45809</v>
      </c>
      <c r="E158" s="37">
        <f t="shared" si="6"/>
        <v>45839</v>
      </c>
      <c r="F158" s="37">
        <f t="shared" si="6"/>
        <v>45870</v>
      </c>
      <c r="G158" s="37">
        <f t="shared" si="6"/>
        <v>45901</v>
      </c>
      <c r="H158" s="37">
        <f t="shared" si="6"/>
        <v>45931</v>
      </c>
      <c r="I158" s="37">
        <f t="shared" si="6"/>
        <v>45962</v>
      </c>
      <c r="J158" s="37">
        <f t="shared" si="6"/>
        <v>45992</v>
      </c>
      <c r="K158" s="37">
        <f t="shared" si="6"/>
        <v>46023</v>
      </c>
      <c r="L158" s="37">
        <f t="shared" si="6"/>
        <v>46054</v>
      </c>
      <c r="M158" s="37">
        <f t="shared" si="6"/>
        <v>46082</v>
      </c>
    </row>
    <row r="159" spans="1:13" ht="52.8" x14ac:dyDescent="0.3">
      <c r="A159" s="39" t="s">
        <v>5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 spans="1:13" x14ac:dyDescent="0.3">
      <c r="A160" s="25" t="s">
        <v>75</v>
      </c>
      <c r="B160" s="9" t="str">
        <f>'C+8 Dashboard'!H11</f>
        <v/>
      </c>
      <c r="C160" s="9">
        <f>'C+8 Dashboard'!K11</f>
        <v>0</v>
      </c>
      <c r="D160" s="9" t="str">
        <f>'C+8 Dashboard'!N11</f>
        <v/>
      </c>
      <c r="E160" s="9" t="str">
        <f>'C+8 Dashboard'!Q11</f>
        <v/>
      </c>
      <c r="F160" s="9" t="str">
        <f>'C+8 Dashboard'!T11</f>
        <v/>
      </c>
      <c r="G160" s="9" t="str">
        <f>'C+8 Dashboard'!W11</f>
        <v/>
      </c>
      <c r="H160" s="9" t="str">
        <f>'C+8 Dashboard'!Z11</f>
        <v/>
      </c>
      <c r="I160" s="9" t="str">
        <f>'C+8 Dashboard'!AC11</f>
        <v/>
      </c>
      <c r="J160" s="9" t="str">
        <f>'C+8 Dashboard'!AF11</f>
        <v/>
      </c>
      <c r="K160" s="9" t="str">
        <f>'C+8 Dashboard'!AI11</f>
        <v/>
      </c>
      <c r="L160" s="9" t="str">
        <f>'C+8 Dashboard'!AL11</f>
        <v/>
      </c>
      <c r="M160" s="9" t="str">
        <f>'C+8 Dashboard'!AO11</f>
        <v/>
      </c>
    </row>
    <row r="161" spans="1:13" x14ac:dyDescent="0.3">
      <c r="A161" s="25" t="s">
        <v>74</v>
      </c>
      <c r="B161" s="9" t="str">
        <f>'C+8 Dashboard'!H10</f>
        <v/>
      </c>
      <c r="C161" s="9">
        <f>'C+8 Dashboard'!K10</f>
        <v>1</v>
      </c>
      <c r="D161" s="9" t="str">
        <f>'C+8 Dashboard'!N10</f>
        <v/>
      </c>
      <c r="E161" s="9" t="str">
        <f>'C+8 Dashboard'!Q10</f>
        <v/>
      </c>
      <c r="F161" s="9" t="str">
        <f>'C+8 Dashboard'!T10</f>
        <v/>
      </c>
      <c r="G161" s="9" t="str">
        <f>'C+8 Dashboard'!W10</f>
        <v/>
      </c>
      <c r="H161" s="9" t="str">
        <f>'C+8 Dashboard'!Z10</f>
        <v/>
      </c>
      <c r="I161" s="9" t="str">
        <f>'C+8 Dashboard'!AC10</f>
        <v/>
      </c>
      <c r="J161" s="9" t="str">
        <f>'C+8 Dashboard'!AF10</f>
        <v/>
      </c>
      <c r="K161" s="9" t="str">
        <f>'C+8 Dashboard'!AI10</f>
        <v/>
      </c>
      <c r="L161" s="9" t="str">
        <f>'C+8 Dashboard'!AL10</f>
        <v/>
      </c>
      <c r="M161" s="9" t="str">
        <f>'C+8 Dashboard'!AO10</f>
        <v/>
      </c>
    </row>
    <row r="162" spans="1:13" x14ac:dyDescent="0.3">
      <c r="A162" s="25" t="s">
        <v>76</v>
      </c>
      <c r="B162" s="9" t="str">
        <f>'C+8 Dashboard'!H12</f>
        <v/>
      </c>
      <c r="C162" s="9">
        <f>'C+8 Dashboard'!K12</f>
        <v>0</v>
      </c>
      <c r="D162" s="9" t="str">
        <f>'C+8 Dashboard'!N12</f>
        <v/>
      </c>
      <c r="E162" s="9" t="str">
        <f>'C+8 Dashboard'!Q12</f>
        <v/>
      </c>
      <c r="F162" s="9" t="str">
        <f>'C+8 Dashboard'!T12</f>
        <v/>
      </c>
      <c r="G162" s="9" t="str">
        <f>'C+8 Dashboard'!W12</f>
        <v/>
      </c>
      <c r="H162" s="9" t="str">
        <f>'C+8 Dashboard'!Z12</f>
        <v/>
      </c>
      <c r="I162" s="9" t="str">
        <f>'C+8 Dashboard'!AC12</f>
        <v/>
      </c>
      <c r="J162" s="9" t="str">
        <f>'C+8 Dashboard'!AF12</f>
        <v/>
      </c>
      <c r="K162" s="9" t="str">
        <f>'C+8 Dashboard'!AI12</f>
        <v/>
      </c>
      <c r="L162" s="9" t="str">
        <f>'C+8 Dashboard'!AL12</f>
        <v/>
      </c>
      <c r="M162" s="9" t="str">
        <f>'C+8 Dashboard'!AO12</f>
        <v/>
      </c>
    </row>
    <row r="163" spans="1:13" x14ac:dyDescent="0.3">
      <c r="A163" s="25" t="s">
        <v>77</v>
      </c>
      <c r="B163" s="9" t="str">
        <f>'C+8 Dashboard'!H13</f>
        <v/>
      </c>
      <c r="C163" s="9">
        <f>'C+8 Dashboard'!K13</f>
        <v>0</v>
      </c>
      <c r="D163" s="9" t="str">
        <f>'C+8 Dashboard'!N13</f>
        <v/>
      </c>
      <c r="E163" s="9" t="str">
        <f>'C+8 Dashboard'!Q13</f>
        <v/>
      </c>
      <c r="F163" s="9" t="str">
        <f>'C+8 Dashboard'!T13</f>
        <v/>
      </c>
      <c r="G163" s="9" t="str">
        <f>'C+8 Dashboard'!W13</f>
        <v/>
      </c>
      <c r="H163" s="9" t="str">
        <f>'C+8 Dashboard'!Z13</f>
        <v/>
      </c>
      <c r="I163" s="9" t="str">
        <f>'C+8 Dashboard'!AC13</f>
        <v/>
      </c>
      <c r="J163" s="9" t="str">
        <f>'C+8 Dashboard'!AF13</f>
        <v/>
      </c>
      <c r="K163" s="9" t="str">
        <f>'C+8 Dashboard'!AI13</f>
        <v/>
      </c>
      <c r="L163" s="9" t="str">
        <f>'C+8 Dashboard'!AL13</f>
        <v/>
      </c>
      <c r="M163" s="9" t="str">
        <f>'C+8 Dashboard'!AO13</f>
        <v/>
      </c>
    </row>
    <row r="164" spans="1:13" x14ac:dyDescent="0.3">
      <c r="A164" s="25" t="s">
        <v>78</v>
      </c>
      <c r="B164" s="9" t="str">
        <f>'C+8 Dashboard'!H14</f>
        <v/>
      </c>
      <c r="C164" s="9">
        <f>'C+8 Dashboard'!K14</f>
        <v>0</v>
      </c>
      <c r="D164" s="9" t="str">
        <f>'C+8 Dashboard'!N14</f>
        <v/>
      </c>
      <c r="E164" s="9" t="str">
        <f>'C+8 Dashboard'!Q14</f>
        <v/>
      </c>
      <c r="F164" s="9" t="str">
        <f>'C+8 Dashboard'!T14</f>
        <v/>
      </c>
      <c r="G164" s="9" t="str">
        <f>'C+8 Dashboard'!W14</f>
        <v/>
      </c>
      <c r="H164" s="9" t="str">
        <f>'C+8 Dashboard'!Z14</f>
        <v/>
      </c>
      <c r="I164" s="9" t="str">
        <f>'C+8 Dashboard'!AC14</f>
        <v/>
      </c>
      <c r="J164" s="9" t="str">
        <f>'C+8 Dashboard'!AF14</f>
        <v/>
      </c>
      <c r="K164" s="9" t="str">
        <f>'C+8 Dashboard'!AI14</f>
        <v/>
      </c>
      <c r="L164" s="9" t="str">
        <f>'C+8 Dashboard'!AL14</f>
        <v/>
      </c>
      <c r="M164" s="9" t="str">
        <f>'C+8 Dashboard'!AO14</f>
        <v/>
      </c>
    </row>
    <row r="165" spans="1:13" ht="21" x14ac:dyDescent="0.3">
      <c r="A165" s="33" t="s">
        <v>8</v>
      </c>
    </row>
    <row r="166" spans="1:13" ht="21" x14ac:dyDescent="0.3">
      <c r="A166" s="40"/>
      <c r="B166" s="37">
        <f>B118</f>
        <v>45748</v>
      </c>
      <c r="C166" s="37">
        <f t="shared" ref="C166:M166" si="7">C118</f>
        <v>45778</v>
      </c>
      <c r="D166" s="37">
        <f t="shared" si="7"/>
        <v>45809</v>
      </c>
      <c r="E166" s="37">
        <f t="shared" si="7"/>
        <v>45839</v>
      </c>
      <c r="F166" s="37">
        <f t="shared" si="7"/>
        <v>45870</v>
      </c>
      <c r="G166" s="37">
        <f t="shared" si="7"/>
        <v>45901</v>
      </c>
      <c r="H166" s="37">
        <f t="shared" si="7"/>
        <v>45931</v>
      </c>
      <c r="I166" s="37">
        <f t="shared" si="7"/>
        <v>45962</v>
      </c>
      <c r="J166" s="37">
        <f t="shared" si="7"/>
        <v>45992</v>
      </c>
      <c r="K166" s="37">
        <f t="shared" si="7"/>
        <v>46023</v>
      </c>
      <c r="L166" s="37">
        <f t="shared" si="7"/>
        <v>46054</v>
      </c>
      <c r="M166" s="37">
        <f t="shared" si="7"/>
        <v>46082</v>
      </c>
    </row>
    <row r="167" spans="1:13" ht="52.8" x14ac:dyDescent="0.3">
      <c r="A167" s="39" t="s">
        <v>8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spans="1:13" x14ac:dyDescent="0.3">
      <c r="A168" s="25" t="s">
        <v>75</v>
      </c>
      <c r="B168" s="9" t="str">
        <f>'C+8 Dashboard'!H17</f>
        <v/>
      </c>
      <c r="C168" s="9">
        <f>'C+8 Dashboard'!K17</f>
        <v>0</v>
      </c>
      <c r="D168" s="9" t="str">
        <f>'C+8 Dashboard'!N17</f>
        <v/>
      </c>
      <c r="E168" s="9" t="str">
        <f>'C+8 Dashboard'!Q17</f>
        <v/>
      </c>
      <c r="F168" s="9" t="str">
        <f>'C+8 Dashboard'!T17</f>
        <v/>
      </c>
      <c r="G168" s="9" t="str">
        <f>'C+8 Dashboard'!W17</f>
        <v/>
      </c>
      <c r="H168" s="9" t="str">
        <f>'C+8 Dashboard'!Z17</f>
        <v/>
      </c>
      <c r="I168" s="9" t="str">
        <f>'C+8 Dashboard'!AC17</f>
        <v/>
      </c>
      <c r="J168" s="9" t="str">
        <f>'C+8 Dashboard'!AF17</f>
        <v/>
      </c>
      <c r="K168" s="9" t="str">
        <f>'C+8 Dashboard'!AI17</f>
        <v/>
      </c>
      <c r="L168" s="9" t="str">
        <f>'C+8 Dashboard'!AL17</f>
        <v/>
      </c>
      <c r="M168" s="9" t="str">
        <f>'C+8 Dashboard'!AO17</f>
        <v/>
      </c>
    </row>
    <row r="169" spans="1:13" x14ac:dyDescent="0.3">
      <c r="A169" s="25" t="s">
        <v>74</v>
      </c>
      <c r="B169" s="9" t="str">
        <f>'C+8 Dashboard'!H16</f>
        <v/>
      </c>
      <c r="C169" s="9">
        <f>'C+8 Dashboard'!K16</f>
        <v>1</v>
      </c>
      <c r="D169" s="9" t="str">
        <f>'C+8 Dashboard'!N16</f>
        <v/>
      </c>
      <c r="E169" s="9" t="str">
        <f>'C+8 Dashboard'!Q16</f>
        <v/>
      </c>
      <c r="F169" s="9" t="str">
        <f>'C+8 Dashboard'!T16</f>
        <v/>
      </c>
      <c r="G169" s="9" t="str">
        <f>'C+8 Dashboard'!W16</f>
        <v/>
      </c>
      <c r="H169" s="9" t="str">
        <f>'C+8 Dashboard'!Z16</f>
        <v/>
      </c>
      <c r="I169" s="9" t="str">
        <f>'C+8 Dashboard'!AC16</f>
        <v/>
      </c>
      <c r="J169" s="9" t="str">
        <f>'C+8 Dashboard'!AF16</f>
        <v/>
      </c>
      <c r="K169" s="9" t="str">
        <f>'C+8 Dashboard'!AI16</f>
        <v/>
      </c>
      <c r="L169" s="9" t="str">
        <f>'C+8 Dashboard'!AL16</f>
        <v/>
      </c>
      <c r="M169" s="9" t="str">
        <f>'C+8 Dashboard'!AO16</f>
        <v/>
      </c>
    </row>
    <row r="170" spans="1:13" x14ac:dyDescent="0.3">
      <c r="A170" s="25" t="s">
        <v>76</v>
      </c>
      <c r="B170" s="9" t="str">
        <f>'C+8 Dashboard'!H18</f>
        <v/>
      </c>
      <c r="C170" s="9">
        <f>'C+8 Dashboard'!K18</f>
        <v>0</v>
      </c>
      <c r="D170" s="9" t="str">
        <f>'C+8 Dashboard'!N18</f>
        <v/>
      </c>
      <c r="E170" s="9" t="str">
        <f>'C+8 Dashboard'!Q18</f>
        <v/>
      </c>
      <c r="F170" s="9" t="str">
        <f>'C+8 Dashboard'!T18</f>
        <v/>
      </c>
      <c r="G170" s="9" t="str">
        <f>'C+8 Dashboard'!W18</f>
        <v/>
      </c>
      <c r="H170" s="9" t="str">
        <f>'C+8 Dashboard'!Z18</f>
        <v/>
      </c>
      <c r="I170" s="9" t="str">
        <f>'C+8 Dashboard'!AC18</f>
        <v/>
      </c>
      <c r="J170" s="9" t="str">
        <f>'C+8 Dashboard'!AF18</f>
        <v/>
      </c>
      <c r="K170" s="9" t="str">
        <f>'C+8 Dashboard'!AI18</f>
        <v/>
      </c>
      <c r="L170" s="9" t="str">
        <f>'C+8 Dashboard'!AL18</f>
        <v/>
      </c>
      <c r="M170" s="9" t="str">
        <f>'C+8 Dashboard'!AO18</f>
        <v/>
      </c>
    </row>
    <row r="171" spans="1:13" x14ac:dyDescent="0.3">
      <c r="A171" s="25" t="s">
        <v>77</v>
      </c>
      <c r="B171" s="9" t="str">
        <f>'C+8 Dashboard'!H19</f>
        <v/>
      </c>
      <c r="C171" s="9">
        <f>'C+8 Dashboard'!K19</f>
        <v>0</v>
      </c>
      <c r="D171" s="9" t="str">
        <f>'C+8 Dashboard'!N19</f>
        <v/>
      </c>
      <c r="E171" s="9" t="str">
        <f>'C+8 Dashboard'!Q19</f>
        <v/>
      </c>
      <c r="F171" s="9" t="str">
        <f>'C+8 Dashboard'!T19</f>
        <v/>
      </c>
      <c r="G171" s="9" t="str">
        <f>'C+8 Dashboard'!W19</f>
        <v/>
      </c>
      <c r="H171" s="9" t="str">
        <f>'C+8 Dashboard'!Z19</f>
        <v/>
      </c>
      <c r="I171" s="9" t="str">
        <f>'C+8 Dashboard'!AC19</f>
        <v/>
      </c>
      <c r="J171" s="9" t="str">
        <f>'C+8 Dashboard'!AF19</f>
        <v/>
      </c>
      <c r="K171" s="9" t="str">
        <f>'C+8 Dashboard'!AI19</f>
        <v/>
      </c>
      <c r="L171" s="9" t="str">
        <f>'C+8 Dashboard'!AL19</f>
        <v/>
      </c>
      <c r="M171" s="9" t="str">
        <f>'C+8 Dashboard'!AO19</f>
        <v/>
      </c>
    </row>
    <row r="172" spans="1:13" x14ac:dyDescent="0.3">
      <c r="A172" s="25" t="s">
        <v>78</v>
      </c>
      <c r="B172" s="9" t="str">
        <f>'C+8 Dashboard'!H20</f>
        <v/>
      </c>
      <c r="C172" s="9">
        <f>'C+8 Dashboard'!K20</f>
        <v>0</v>
      </c>
      <c r="D172" s="9" t="str">
        <f>'C+8 Dashboard'!N20</f>
        <v/>
      </c>
      <c r="E172" s="9" t="str">
        <f>'C+8 Dashboard'!Q20</f>
        <v/>
      </c>
      <c r="F172" s="9" t="str">
        <f>'C+8 Dashboard'!T20</f>
        <v/>
      </c>
      <c r="G172" s="9" t="str">
        <f>'C+8 Dashboard'!W20</f>
        <v/>
      </c>
      <c r="H172" s="9" t="str">
        <f>'C+8 Dashboard'!Z20</f>
        <v/>
      </c>
      <c r="I172" s="9" t="str">
        <f>'C+8 Dashboard'!AC20</f>
        <v/>
      </c>
      <c r="J172" s="9" t="str">
        <f>'C+8 Dashboard'!AF20</f>
        <v/>
      </c>
      <c r="K172" s="9" t="str">
        <f>'C+8 Dashboard'!AI20</f>
        <v/>
      </c>
      <c r="L172" s="9" t="str">
        <f>'C+8 Dashboard'!AL20</f>
        <v/>
      </c>
      <c r="M172" s="9" t="str">
        <f>'C+8 Dashboard'!AO20</f>
        <v/>
      </c>
    </row>
    <row r="173" spans="1:13" ht="21" x14ac:dyDescent="0.4">
      <c r="A173" s="14" t="s">
        <v>14</v>
      </c>
    </row>
    <row r="174" spans="1:13" ht="21" x14ac:dyDescent="0.4">
      <c r="A174" s="14"/>
    </row>
    <row r="175" spans="1:13" ht="15.6" x14ac:dyDescent="0.3">
      <c r="A175" s="16" t="s">
        <v>72</v>
      </c>
    </row>
    <row r="177" spans="1:13" ht="21" x14ac:dyDescent="0.4">
      <c r="A177" s="17"/>
      <c r="B177" s="37">
        <f>B118</f>
        <v>45748</v>
      </c>
      <c r="C177" s="37">
        <f t="shared" ref="C177:M177" si="8">C118</f>
        <v>45778</v>
      </c>
      <c r="D177" s="37">
        <f t="shared" si="8"/>
        <v>45809</v>
      </c>
      <c r="E177" s="37">
        <f t="shared" si="8"/>
        <v>45839</v>
      </c>
      <c r="F177" s="37">
        <f t="shared" si="8"/>
        <v>45870</v>
      </c>
      <c r="G177" s="37">
        <f t="shared" si="8"/>
        <v>45901</v>
      </c>
      <c r="H177" s="37">
        <f t="shared" si="8"/>
        <v>45931</v>
      </c>
      <c r="I177" s="37">
        <f t="shared" si="8"/>
        <v>45962</v>
      </c>
      <c r="J177" s="37">
        <f t="shared" si="8"/>
        <v>45992</v>
      </c>
      <c r="K177" s="37">
        <f t="shared" si="8"/>
        <v>46023</v>
      </c>
      <c r="L177" s="37">
        <f t="shared" si="8"/>
        <v>46054</v>
      </c>
      <c r="M177" s="37">
        <f t="shared" si="8"/>
        <v>46082</v>
      </c>
    </row>
    <row r="178" spans="1:13" x14ac:dyDescent="0.3">
      <c r="A178" s="4" t="s">
        <v>15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spans="1:13" x14ac:dyDescent="0.3">
      <c r="A179" s="4" t="s">
        <v>13</v>
      </c>
      <c r="B179" s="9" t="str">
        <f>'C+8 Dashboard'!H39</f>
        <v/>
      </c>
      <c r="C179" s="9">
        <f>'C+8 Dashboard'!K39</f>
        <v>0</v>
      </c>
      <c r="D179" s="9" t="str">
        <f>'C+8 Dashboard'!N39</f>
        <v/>
      </c>
      <c r="E179" s="9" t="str">
        <f>'C+8 Dashboard'!Q39</f>
        <v/>
      </c>
      <c r="F179" s="9" t="str">
        <f>'C+8 Dashboard'!T39</f>
        <v/>
      </c>
      <c r="G179" s="9" t="str">
        <f>'C+8 Dashboard'!W39</f>
        <v/>
      </c>
      <c r="H179" s="9" t="str">
        <f>'C+8 Dashboard'!Z39</f>
        <v/>
      </c>
      <c r="I179" s="9" t="str">
        <f>'C+8 Dashboard'!AC39</f>
        <v/>
      </c>
      <c r="J179" s="9" t="str">
        <f>'C+8 Dashboard'!AF39</f>
        <v/>
      </c>
      <c r="K179" s="9" t="str">
        <f>'C+8 Dashboard'!AI39</f>
        <v/>
      </c>
      <c r="L179" s="9" t="str">
        <f>'C+8 Dashboard'!AL39</f>
        <v/>
      </c>
      <c r="M179" s="9" t="str">
        <f>'C+8 Dashboard'!AO39</f>
        <v/>
      </c>
    </row>
    <row r="180" spans="1:13" x14ac:dyDescent="0.3">
      <c r="A180" s="4" t="s">
        <v>12</v>
      </c>
      <c r="B180" s="9" t="str">
        <f>'C+8 Dashboard'!H38</f>
        <v/>
      </c>
      <c r="C180" s="9">
        <f>'C+8 Dashboard'!K38</f>
        <v>1</v>
      </c>
      <c r="D180" s="9" t="str">
        <f>'C+8 Dashboard'!N38</f>
        <v/>
      </c>
      <c r="E180" s="9" t="str">
        <f>'C+8 Dashboard'!Q38</f>
        <v/>
      </c>
      <c r="F180" s="9" t="str">
        <f>'C+8 Dashboard'!T38</f>
        <v/>
      </c>
      <c r="G180" s="9" t="str">
        <f>'C+8 Dashboard'!W38</f>
        <v/>
      </c>
      <c r="H180" s="9" t="str">
        <f>'C+8 Dashboard'!Z38</f>
        <v/>
      </c>
      <c r="I180" s="9" t="str">
        <f>'C+8 Dashboard'!AC38</f>
        <v/>
      </c>
      <c r="J180" s="9" t="str">
        <f>'C+8 Dashboard'!AF38</f>
        <v/>
      </c>
      <c r="K180" s="9" t="str">
        <f>'C+8 Dashboard'!AI38</f>
        <v/>
      </c>
      <c r="L180" s="9" t="str">
        <f>'C+8 Dashboard'!AL38</f>
        <v/>
      </c>
      <c r="M180" s="9" t="str">
        <f>'C+8 Dashboard'!AO38</f>
        <v/>
      </c>
    </row>
    <row r="181" spans="1:13" x14ac:dyDescent="0.3">
      <c r="A181" s="4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1:13" ht="15.6" x14ac:dyDescent="0.3">
      <c r="A182" s="16" t="s">
        <v>73</v>
      </c>
    </row>
    <row r="184" spans="1:13" x14ac:dyDescent="0.3">
      <c r="A184" s="8"/>
      <c r="B184" s="37">
        <f>B118</f>
        <v>45748</v>
      </c>
      <c r="C184" s="37">
        <f t="shared" ref="C184:M184" si="9">C118</f>
        <v>45778</v>
      </c>
      <c r="D184" s="37">
        <f t="shared" si="9"/>
        <v>45809</v>
      </c>
      <c r="E184" s="37">
        <f t="shared" si="9"/>
        <v>45839</v>
      </c>
      <c r="F184" s="37">
        <f t="shared" si="9"/>
        <v>45870</v>
      </c>
      <c r="G184" s="37">
        <f t="shared" si="9"/>
        <v>45901</v>
      </c>
      <c r="H184" s="37">
        <f t="shared" si="9"/>
        <v>45931</v>
      </c>
      <c r="I184" s="37">
        <f t="shared" si="9"/>
        <v>45962</v>
      </c>
      <c r="J184" s="37">
        <f t="shared" si="9"/>
        <v>45992</v>
      </c>
      <c r="K184" s="37">
        <f t="shared" si="9"/>
        <v>46023</v>
      </c>
      <c r="L184" s="37">
        <f t="shared" si="9"/>
        <v>46054</v>
      </c>
      <c r="M184" s="37">
        <f t="shared" si="9"/>
        <v>46082</v>
      </c>
    </row>
    <row r="185" spans="1:13" x14ac:dyDescent="0.3">
      <c r="A185" s="4" t="s">
        <v>16</v>
      </c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7" spans="1:13" x14ac:dyDescent="0.3">
      <c r="A187" s="8" t="s">
        <v>13</v>
      </c>
      <c r="B187" s="9" t="str">
        <f>'C+8 Dashboard'!H42</f>
        <v/>
      </c>
      <c r="C187" s="9">
        <f>'C+8 Dashboard'!K42</f>
        <v>0</v>
      </c>
      <c r="D187" s="9" t="str">
        <f>'C+8 Dashboard'!N42</f>
        <v/>
      </c>
      <c r="E187" s="9" t="str">
        <f>'C+8 Dashboard'!Q42</f>
        <v/>
      </c>
      <c r="F187" s="9" t="str">
        <f>'C+8 Dashboard'!T42</f>
        <v/>
      </c>
      <c r="G187" s="9" t="str">
        <f>'C+8 Dashboard'!W42</f>
        <v/>
      </c>
      <c r="H187" s="9" t="str">
        <f>'C+8 Dashboard'!Z42</f>
        <v/>
      </c>
      <c r="I187" s="9" t="str">
        <f>'C+8 Dashboard'!AC39</f>
        <v/>
      </c>
      <c r="J187" s="9" t="str">
        <f>'C+8 Dashboard'!AF42</f>
        <v/>
      </c>
      <c r="K187" s="9" t="str">
        <f>'C+8 Dashboard'!AI42</f>
        <v/>
      </c>
      <c r="L187" s="9" t="str">
        <f>'C+8 Dashboard'!AL42</f>
        <v/>
      </c>
      <c r="M187" s="9" t="str">
        <f>'C+8 Dashboard'!AO42</f>
        <v/>
      </c>
    </row>
    <row r="188" spans="1:13" x14ac:dyDescent="0.3">
      <c r="A188" s="8" t="s">
        <v>12</v>
      </c>
      <c r="B188" s="9" t="str">
        <f>'C+8 Dashboard'!H41</f>
        <v/>
      </c>
      <c r="C188" s="9">
        <f>'C+8 Dashboard'!K41</f>
        <v>1</v>
      </c>
      <c r="D188" s="9" t="str">
        <f>'C+8 Dashboard'!N41</f>
        <v/>
      </c>
      <c r="E188" s="9" t="str">
        <f>'C+8 Dashboard'!Q41</f>
        <v/>
      </c>
      <c r="F188" s="9" t="str">
        <f>'C+8 Dashboard'!T41</f>
        <v/>
      </c>
      <c r="G188" s="9" t="str">
        <f>'C+8 Dashboard'!W41</f>
        <v/>
      </c>
      <c r="H188" s="9" t="str">
        <f>'C+8 Dashboard'!Z41</f>
        <v/>
      </c>
      <c r="I188" s="9" t="str">
        <f>'C+8 Dashboard'!AC38</f>
        <v/>
      </c>
      <c r="J188" s="9" t="str">
        <f>'C+8 Dashboard'!AF41</f>
        <v/>
      </c>
      <c r="K188" s="9" t="str">
        <f>'C+8 Dashboard'!AI41</f>
        <v/>
      </c>
      <c r="L188" s="9" t="str">
        <f>'C+8 Dashboard'!AL41</f>
        <v/>
      </c>
      <c r="M188" s="9" t="str">
        <f>'C+8 Dashboard'!AO41</f>
        <v/>
      </c>
    </row>
    <row r="189" spans="1:13" x14ac:dyDescent="0.3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1:13" ht="15.6" x14ac:dyDescent="0.3">
      <c r="A190" s="16" t="s">
        <v>17</v>
      </c>
    </row>
    <row r="191" spans="1:13" ht="15.6" x14ac:dyDescent="0.3">
      <c r="A191" s="41"/>
    </row>
    <row r="192" spans="1:13" x14ac:dyDescent="0.3">
      <c r="A192" s="8"/>
      <c r="B192" s="37">
        <f>B118</f>
        <v>45748</v>
      </c>
      <c r="C192" s="37">
        <f t="shared" ref="C192:M192" si="10">C118</f>
        <v>45778</v>
      </c>
      <c r="D192" s="37">
        <f t="shared" si="10"/>
        <v>45809</v>
      </c>
      <c r="E192" s="37">
        <f t="shared" si="10"/>
        <v>45839</v>
      </c>
      <c r="F192" s="37">
        <f t="shared" si="10"/>
        <v>45870</v>
      </c>
      <c r="G192" s="37">
        <f t="shared" si="10"/>
        <v>45901</v>
      </c>
      <c r="H192" s="37">
        <f t="shared" si="10"/>
        <v>45931</v>
      </c>
      <c r="I192" s="37">
        <f t="shared" si="10"/>
        <v>45962</v>
      </c>
      <c r="J192" s="37">
        <f t="shared" si="10"/>
        <v>45992</v>
      </c>
      <c r="K192" s="37">
        <f t="shared" si="10"/>
        <v>46023</v>
      </c>
      <c r="L192" s="37">
        <f t="shared" si="10"/>
        <v>46054</v>
      </c>
      <c r="M192" s="37">
        <f t="shared" si="10"/>
        <v>46082</v>
      </c>
    </row>
    <row r="193" spans="1:13" ht="15.6" x14ac:dyDescent="0.3">
      <c r="A193" s="41" t="s">
        <v>17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 spans="1:13" ht="15.6" x14ac:dyDescent="0.3">
      <c r="A194" s="4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 spans="1:13" x14ac:dyDescent="0.3">
      <c r="A195" s="8" t="s">
        <v>13</v>
      </c>
      <c r="B195" s="9" t="str">
        <f>'C+8 Dashboard'!H45</f>
        <v/>
      </c>
      <c r="C195" s="9">
        <f>'C+8 Dashboard'!K45</f>
        <v>0</v>
      </c>
      <c r="D195" s="9" t="str">
        <f>'C+8 Dashboard'!N45</f>
        <v/>
      </c>
      <c r="E195" s="9" t="str">
        <f>'C+8 Dashboard'!Q45</f>
        <v/>
      </c>
      <c r="F195" s="9" t="str">
        <f>'C+8 Dashboard'!T45</f>
        <v/>
      </c>
      <c r="G195" s="9" t="str">
        <f>'C+8 Dashboard'!W45</f>
        <v/>
      </c>
      <c r="H195" s="9" t="str">
        <f>'C+8 Dashboard'!Z45</f>
        <v/>
      </c>
      <c r="I195" s="9" t="str">
        <f>'C+8 Dashboard'!AC45</f>
        <v/>
      </c>
      <c r="J195" s="9" t="str">
        <f>'C+8 Dashboard'!AF45</f>
        <v/>
      </c>
      <c r="K195" s="9" t="str">
        <f>'C+8 Dashboard'!AI45</f>
        <v/>
      </c>
      <c r="L195" s="9" t="str">
        <f>'C+8 Dashboard'!AL45</f>
        <v/>
      </c>
      <c r="M195" s="9" t="str">
        <f>'C+8 Dashboard'!AO45</f>
        <v/>
      </c>
    </row>
    <row r="196" spans="1:13" x14ac:dyDescent="0.3">
      <c r="A196" s="8" t="s">
        <v>12</v>
      </c>
      <c r="B196" s="9" t="str">
        <f>'C+8 Dashboard'!H44</f>
        <v/>
      </c>
      <c r="C196" s="9">
        <f>'C+8 Dashboard'!K44</f>
        <v>1</v>
      </c>
      <c r="D196" s="9" t="str">
        <f>'C+8 Dashboard'!N44</f>
        <v/>
      </c>
      <c r="E196" s="9" t="str">
        <f>'C+8 Dashboard'!Q44</f>
        <v/>
      </c>
      <c r="F196" s="9" t="str">
        <f>'C+8 Dashboard'!T44</f>
        <v/>
      </c>
      <c r="G196" s="9" t="str">
        <f>'C+8 Dashboard'!W44</f>
        <v/>
      </c>
      <c r="H196" s="9" t="str">
        <f>'C+8 Dashboard'!Z44</f>
        <v/>
      </c>
      <c r="I196" s="9" t="str">
        <f>'C+8 Dashboard'!AC44</f>
        <v/>
      </c>
      <c r="J196" s="9" t="str">
        <f>'C+8 Dashboard'!AF44</f>
        <v/>
      </c>
      <c r="K196" s="9" t="str">
        <f>'C+8 Dashboard'!AI44</f>
        <v/>
      </c>
      <c r="L196" s="9" t="str">
        <f>'C+8 Dashboard'!AL44</f>
        <v/>
      </c>
      <c r="M196" s="9" t="str">
        <f>'C+8 Dashboard'!AO44</f>
        <v/>
      </c>
    </row>
    <row r="198" spans="1:13" ht="46.8" x14ac:dyDescent="0.3">
      <c r="A198" s="42" t="s">
        <v>18</v>
      </c>
    </row>
    <row r="199" spans="1:13" x14ac:dyDescent="0.3">
      <c r="A199" s="8"/>
      <c r="B199" s="37">
        <f>B118</f>
        <v>45748</v>
      </c>
      <c r="C199" s="37">
        <f t="shared" ref="C199:M199" si="11">C118</f>
        <v>45778</v>
      </c>
      <c r="D199" s="37">
        <f t="shared" si="11"/>
        <v>45809</v>
      </c>
      <c r="E199" s="37">
        <f t="shared" si="11"/>
        <v>45839</v>
      </c>
      <c r="F199" s="37">
        <f t="shared" si="11"/>
        <v>45870</v>
      </c>
      <c r="G199" s="37">
        <f t="shared" si="11"/>
        <v>45901</v>
      </c>
      <c r="H199" s="37">
        <f t="shared" si="11"/>
        <v>45931</v>
      </c>
      <c r="I199" s="37">
        <f t="shared" si="11"/>
        <v>45962</v>
      </c>
      <c r="J199" s="37">
        <f t="shared" si="11"/>
        <v>45992</v>
      </c>
      <c r="K199" s="37">
        <f t="shared" si="11"/>
        <v>46023</v>
      </c>
      <c r="L199" s="37">
        <f t="shared" si="11"/>
        <v>46054</v>
      </c>
      <c r="M199" s="37">
        <f t="shared" si="11"/>
        <v>46082</v>
      </c>
    </row>
    <row r="200" spans="1:13" ht="46.8" x14ac:dyDescent="0.3">
      <c r="A200" s="43" t="s">
        <v>18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 spans="1:13" x14ac:dyDescent="0.3">
      <c r="A201" s="8" t="s">
        <v>13</v>
      </c>
      <c r="B201" s="9" t="str">
        <f>'C+8 Dashboard'!H48</f>
        <v/>
      </c>
      <c r="C201" s="9">
        <f>'C+8 Dashboard'!K48</f>
        <v>0</v>
      </c>
      <c r="D201" s="9" t="str">
        <f>'C+8 Dashboard'!N48</f>
        <v/>
      </c>
      <c r="E201" s="9" t="str">
        <f>'C+8 Dashboard'!Q48</f>
        <v/>
      </c>
      <c r="F201" s="9" t="str">
        <f>'C+8 Dashboard'!T48</f>
        <v/>
      </c>
      <c r="G201" s="9" t="str">
        <f>'C+8 Dashboard'!W48</f>
        <v/>
      </c>
      <c r="H201" s="9" t="str">
        <f>'C+8 Dashboard'!Z48</f>
        <v/>
      </c>
      <c r="I201" s="9" t="str">
        <f>'C+8 Dashboard'!AC48</f>
        <v/>
      </c>
      <c r="J201" s="9" t="str">
        <f>'C+8 Dashboard'!AF48</f>
        <v/>
      </c>
      <c r="K201" s="9" t="str">
        <f>'C+8 Dashboard'!AI48</f>
        <v/>
      </c>
      <c r="L201" s="9" t="str">
        <f>'C+8 Dashboard'!AL48</f>
        <v/>
      </c>
      <c r="M201" s="9" t="str">
        <f>'C+8 Dashboard'!AO48</f>
        <v/>
      </c>
    </row>
    <row r="202" spans="1:13" x14ac:dyDescent="0.3">
      <c r="A202" s="8" t="s">
        <v>12</v>
      </c>
      <c r="B202" s="9" t="str">
        <f>'C+8 Dashboard'!H47</f>
        <v/>
      </c>
      <c r="C202" s="9">
        <f>'C+8 Dashboard'!K47</f>
        <v>1</v>
      </c>
      <c r="D202" s="9" t="str">
        <f>'C+8 Dashboard'!N47</f>
        <v/>
      </c>
      <c r="E202" s="9" t="str">
        <f>'C+8 Dashboard'!Q47</f>
        <v/>
      </c>
      <c r="F202" s="9" t="str">
        <f>'C+8 Dashboard'!T47</f>
        <v/>
      </c>
      <c r="G202" s="9" t="str">
        <f>'C+8 Dashboard'!W47</f>
        <v/>
      </c>
      <c r="H202" s="9" t="str">
        <f>'C+8 Dashboard'!Z47</f>
        <v/>
      </c>
      <c r="I202" s="9" t="str">
        <f>'C+8 Dashboard'!AC47</f>
        <v/>
      </c>
      <c r="J202" s="9" t="str">
        <f>'C+8 Dashboard'!AF47</f>
        <v/>
      </c>
      <c r="K202" s="9" t="str">
        <f>'C+8 Dashboard'!AI47</f>
        <v/>
      </c>
      <c r="L202" s="9" t="str">
        <f>'C+8 Dashboard'!AL47</f>
        <v/>
      </c>
      <c r="M202" s="9" t="str">
        <f>'C+8 Dashboard'!AO47</f>
        <v/>
      </c>
    </row>
    <row r="203" spans="1:13" x14ac:dyDescent="0.3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 spans="1:13" ht="31.2" x14ac:dyDescent="0.3">
      <c r="A204" s="42" t="s">
        <v>19</v>
      </c>
    </row>
    <row r="205" spans="1:13" x14ac:dyDescent="0.3">
      <c r="A205" s="8"/>
      <c r="B205" s="37">
        <f>B118</f>
        <v>45748</v>
      </c>
      <c r="C205" s="37">
        <f t="shared" ref="C205:M205" si="12">C118</f>
        <v>45778</v>
      </c>
      <c r="D205" s="37">
        <f t="shared" si="12"/>
        <v>45809</v>
      </c>
      <c r="E205" s="37">
        <f t="shared" si="12"/>
        <v>45839</v>
      </c>
      <c r="F205" s="37">
        <f t="shared" si="12"/>
        <v>45870</v>
      </c>
      <c r="G205" s="37">
        <f t="shared" si="12"/>
        <v>45901</v>
      </c>
      <c r="H205" s="37">
        <f t="shared" si="12"/>
        <v>45931</v>
      </c>
      <c r="I205" s="37">
        <f t="shared" si="12"/>
        <v>45962</v>
      </c>
      <c r="J205" s="37">
        <f t="shared" si="12"/>
        <v>45992</v>
      </c>
      <c r="K205" s="37">
        <f t="shared" si="12"/>
        <v>46023</v>
      </c>
      <c r="L205" s="37">
        <f t="shared" si="12"/>
        <v>46054</v>
      </c>
      <c r="M205" s="37">
        <f t="shared" si="12"/>
        <v>46082</v>
      </c>
    </row>
    <row r="206" spans="1:13" ht="31.2" x14ac:dyDescent="0.3">
      <c r="A206" s="43" t="s">
        <v>19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</row>
    <row r="207" spans="1:13" x14ac:dyDescent="0.3">
      <c r="A207" s="8" t="s">
        <v>13</v>
      </c>
      <c r="B207" s="9" t="str">
        <f>'C+8 Dashboard'!H51</f>
        <v/>
      </c>
      <c r="C207" s="9">
        <f>'C+8 Dashboard'!K51</f>
        <v>0</v>
      </c>
      <c r="D207" s="9" t="str">
        <f>'C+8 Dashboard'!N51</f>
        <v/>
      </c>
      <c r="E207" s="9" t="str">
        <f>'C+8 Dashboard'!Q51</f>
        <v/>
      </c>
      <c r="F207" s="9" t="str">
        <f>'C+8 Dashboard'!T51</f>
        <v/>
      </c>
      <c r="G207" s="9" t="str">
        <f>'C+8 Dashboard'!W51</f>
        <v/>
      </c>
      <c r="H207" s="9" t="str">
        <f>'C+8 Dashboard'!Z51</f>
        <v/>
      </c>
      <c r="I207" s="9" t="str">
        <f>'C+8 Dashboard'!AC51</f>
        <v/>
      </c>
      <c r="J207" s="9" t="str">
        <f>'C+8 Dashboard'!AF51</f>
        <v/>
      </c>
      <c r="K207" s="9" t="str">
        <f>'C+8 Dashboard'!AI51</f>
        <v/>
      </c>
      <c r="L207" s="9" t="str">
        <f>'C+8 Dashboard'!AL51</f>
        <v/>
      </c>
      <c r="M207" s="9" t="str">
        <f>'C+8 Dashboard'!AO51</f>
        <v/>
      </c>
    </row>
    <row r="208" spans="1:13" x14ac:dyDescent="0.3">
      <c r="A208" s="8" t="s">
        <v>12</v>
      </c>
      <c r="B208" s="9" t="str">
        <f>'C+8 Dashboard'!H50</f>
        <v/>
      </c>
      <c r="C208" s="9">
        <f>'C+8 Dashboard'!K50</f>
        <v>1</v>
      </c>
      <c r="D208" s="9" t="str">
        <f>'C+8 Dashboard'!N50</f>
        <v/>
      </c>
      <c r="E208" s="9" t="str">
        <f>'C+8 Dashboard'!Q50</f>
        <v/>
      </c>
      <c r="F208" s="9" t="str">
        <f>'C+8 Dashboard'!T50</f>
        <v/>
      </c>
      <c r="G208" s="9" t="str">
        <f>'C+8 Dashboard'!W50</f>
        <v/>
      </c>
      <c r="H208" s="9" t="str">
        <f>'C+8 Dashboard'!Z50</f>
        <v/>
      </c>
      <c r="I208" s="9" t="str">
        <f>'C+8 Dashboard'!AC50</f>
        <v/>
      </c>
      <c r="J208" s="9" t="str">
        <f>'C+8 Dashboard'!AF50</f>
        <v/>
      </c>
      <c r="K208" s="9" t="str">
        <f>'C+8 Dashboard'!AI50</f>
        <v/>
      </c>
      <c r="L208" s="9" t="str">
        <f>'C+8 Dashboard'!AL50</f>
        <v/>
      </c>
      <c r="M208" s="9" t="str">
        <f>'C+8 Dashboard'!AO50</f>
        <v/>
      </c>
    </row>
    <row r="210" spans="1:13" ht="15.6" x14ac:dyDescent="0.3">
      <c r="A210" s="42" t="s">
        <v>20</v>
      </c>
    </row>
    <row r="211" spans="1:13" x14ac:dyDescent="0.3">
      <c r="A211" s="8"/>
      <c r="B211" s="37">
        <f>B118</f>
        <v>45748</v>
      </c>
      <c r="C211" s="37">
        <f t="shared" ref="C211:M211" si="13">C118</f>
        <v>45778</v>
      </c>
      <c r="D211" s="37">
        <f t="shared" si="13"/>
        <v>45809</v>
      </c>
      <c r="E211" s="37">
        <f t="shared" si="13"/>
        <v>45839</v>
      </c>
      <c r="F211" s="37">
        <f t="shared" si="13"/>
        <v>45870</v>
      </c>
      <c r="G211" s="37">
        <f t="shared" si="13"/>
        <v>45901</v>
      </c>
      <c r="H211" s="37">
        <f t="shared" si="13"/>
        <v>45931</v>
      </c>
      <c r="I211" s="37">
        <f t="shared" si="13"/>
        <v>45962</v>
      </c>
      <c r="J211" s="37">
        <f t="shared" si="13"/>
        <v>45992</v>
      </c>
      <c r="K211" s="37">
        <f t="shared" si="13"/>
        <v>46023</v>
      </c>
      <c r="L211" s="37">
        <f t="shared" si="13"/>
        <v>46054</v>
      </c>
      <c r="M211" s="37">
        <f t="shared" si="13"/>
        <v>46082</v>
      </c>
    </row>
    <row r="212" spans="1:13" x14ac:dyDescent="0.3">
      <c r="A212" s="29" t="s">
        <v>20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 spans="1:13" x14ac:dyDescent="0.3">
      <c r="A213" s="8" t="s">
        <v>13</v>
      </c>
      <c r="B213" s="9" t="str">
        <f>'C+8 Dashboard'!H57</f>
        <v/>
      </c>
      <c r="C213" s="9">
        <f>'C+8 Dashboard'!K57</f>
        <v>0</v>
      </c>
      <c r="D213" s="9" t="str">
        <f>'C+8 Dashboard'!N57</f>
        <v/>
      </c>
      <c r="E213" s="9" t="str">
        <f>'C+8 Dashboard'!Q57</f>
        <v/>
      </c>
      <c r="F213" s="9" t="str">
        <f>'C+8 Dashboard'!T57</f>
        <v/>
      </c>
      <c r="G213" s="9" t="str">
        <f>'C+8 Dashboard'!W57</f>
        <v/>
      </c>
      <c r="H213" s="9" t="str">
        <f>'C+8 Dashboard'!Z57</f>
        <v/>
      </c>
      <c r="I213" s="9" t="str">
        <f>'C+8 Dashboard'!AC57</f>
        <v/>
      </c>
      <c r="J213" s="9" t="str">
        <f>'C+8 Dashboard'!AF57</f>
        <v/>
      </c>
      <c r="K213" s="9" t="str">
        <f>'C+8 Dashboard'!AI57</f>
        <v/>
      </c>
      <c r="L213" s="9" t="str">
        <f>'C+8 Dashboard'!AL57</f>
        <v/>
      </c>
      <c r="M213" s="9" t="str">
        <f>'C+8 Dashboard'!AO57</f>
        <v/>
      </c>
    </row>
    <row r="214" spans="1:13" x14ac:dyDescent="0.3">
      <c r="A214" s="8" t="s">
        <v>12</v>
      </c>
      <c r="B214" s="9" t="str">
        <f>'C+8 Dashboard'!H56</f>
        <v/>
      </c>
      <c r="C214" s="9">
        <f>'C+8 Dashboard'!K56</f>
        <v>1</v>
      </c>
      <c r="D214" s="9" t="str">
        <f>'C+8 Dashboard'!N56</f>
        <v/>
      </c>
      <c r="E214" s="9" t="str">
        <f>'C+8 Dashboard'!Q56</f>
        <v/>
      </c>
      <c r="F214" s="9" t="str">
        <f>'C+8 Dashboard'!T56</f>
        <v/>
      </c>
      <c r="G214" s="9" t="str">
        <f>'C+8 Dashboard'!W56</f>
        <v/>
      </c>
      <c r="H214" s="9" t="str">
        <f>'C+8 Dashboard'!Z56</f>
        <v/>
      </c>
      <c r="I214" s="9" t="str">
        <f>'C+8 Dashboard'!AC56</f>
        <v/>
      </c>
      <c r="J214" s="9" t="str">
        <f>'C+8 Dashboard'!AF56</f>
        <v/>
      </c>
      <c r="K214" s="9" t="str">
        <f>'C+8 Dashboard'!AI56</f>
        <v/>
      </c>
      <c r="L214" s="9" t="str">
        <f>'C+8 Dashboard'!AL56</f>
        <v/>
      </c>
      <c r="M214" s="9" t="str">
        <f>'C+8 Dashboard'!AO56</f>
        <v/>
      </c>
    </row>
    <row r="231" spans="15:16" x14ac:dyDescent="0.3">
      <c r="O231" s="15"/>
      <c r="P231" s="15"/>
    </row>
  </sheetData>
  <mergeCells count="1">
    <mergeCell ref="F1:L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2"/>
  <sheetViews>
    <sheetView workbookViewId="0">
      <selection activeCell="I13" sqref="I13"/>
    </sheetView>
  </sheetViews>
  <sheetFormatPr defaultRowHeight="14.4" x14ac:dyDescent="0.3"/>
  <sheetData>
    <row r="1" spans="1:2" x14ac:dyDescent="0.3">
      <c r="A1">
        <v>1</v>
      </c>
      <c r="B1" t="s">
        <v>47</v>
      </c>
    </row>
    <row r="2" spans="1:2" x14ac:dyDescent="0.3">
      <c r="A2">
        <v>2</v>
      </c>
      <c r="B2" t="s">
        <v>48</v>
      </c>
    </row>
    <row r="3" spans="1:2" x14ac:dyDescent="0.3">
      <c r="A3">
        <v>3</v>
      </c>
      <c r="B3" t="s">
        <v>49</v>
      </c>
    </row>
    <row r="4" spans="1:2" x14ac:dyDescent="0.3">
      <c r="A4">
        <v>4</v>
      </c>
      <c r="B4" t="s">
        <v>50</v>
      </c>
    </row>
    <row r="5" spans="1:2" x14ac:dyDescent="0.3">
      <c r="A5">
        <v>5</v>
      </c>
      <c r="B5" t="s">
        <v>51</v>
      </c>
    </row>
    <row r="6" spans="1:2" x14ac:dyDescent="0.3">
      <c r="A6">
        <v>6</v>
      </c>
      <c r="B6" t="s">
        <v>52</v>
      </c>
    </row>
    <row r="7" spans="1:2" x14ac:dyDescent="0.3">
      <c r="A7">
        <v>7</v>
      </c>
      <c r="B7" t="s">
        <v>53</v>
      </c>
    </row>
    <row r="8" spans="1:2" x14ac:dyDescent="0.3">
      <c r="A8">
        <v>8</v>
      </c>
      <c r="B8" t="s">
        <v>54</v>
      </c>
    </row>
    <row r="9" spans="1:2" x14ac:dyDescent="0.3">
      <c r="A9">
        <v>9</v>
      </c>
      <c r="B9" t="s">
        <v>55</v>
      </c>
    </row>
    <row r="10" spans="1:2" x14ac:dyDescent="0.3">
      <c r="A10">
        <v>10</v>
      </c>
      <c r="B10" t="s">
        <v>56</v>
      </c>
    </row>
    <row r="11" spans="1:2" x14ac:dyDescent="0.3">
      <c r="A11">
        <v>11</v>
      </c>
      <c r="B11" t="s">
        <v>57</v>
      </c>
    </row>
    <row r="12" spans="1:2" x14ac:dyDescent="0.3">
      <c r="A12">
        <v>12</v>
      </c>
      <c r="B12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3"/>
  <sheetViews>
    <sheetView workbookViewId="0">
      <selection activeCell="B14" sqref="B14"/>
    </sheetView>
  </sheetViews>
  <sheetFormatPr defaultRowHeight="14.4" x14ac:dyDescent="0.3"/>
  <cols>
    <col min="1" max="1" width="14.33203125" bestFit="1" customWidth="1"/>
    <col min="2" max="2" width="20.21875" style="10" customWidth="1"/>
    <col min="3" max="3" width="66.88671875" bestFit="1" customWidth="1"/>
    <col min="27" max="27" width="11.77734375" bestFit="1" customWidth="1"/>
    <col min="28" max="28" width="11.6640625" bestFit="1" customWidth="1"/>
    <col min="45" max="45" width="21.5546875" bestFit="1" customWidth="1"/>
  </cols>
  <sheetData>
    <row r="1" spans="1:3" s="12" customFormat="1" ht="24.9" customHeight="1" x14ac:dyDescent="0.3">
      <c r="A1" s="11" t="s">
        <v>67</v>
      </c>
      <c r="B1" s="11" t="s">
        <v>66</v>
      </c>
      <c r="C1" s="11" t="s">
        <v>68</v>
      </c>
    </row>
    <row r="2" spans="1:3" s="46" customFormat="1" x14ac:dyDescent="0.3">
      <c r="A2" s="46" t="s">
        <v>69</v>
      </c>
      <c r="B2" s="47" t="s">
        <v>121</v>
      </c>
      <c r="C2" s="46" t="s">
        <v>71</v>
      </c>
    </row>
    <row r="3" spans="1:3" x14ac:dyDescent="0.3">
      <c r="A3" t="s">
        <v>70</v>
      </c>
      <c r="B3" s="1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Data-PP1</vt:lpstr>
      <vt:lpstr>C+8 Data</vt:lpstr>
      <vt:lpstr>C+8 Dashboard</vt:lpstr>
      <vt:lpstr>Graph</vt:lpstr>
      <vt:lpstr>Month</vt:lpstr>
      <vt:lpstr>SavedSearch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ChannaBasava H</cp:lastModifiedBy>
  <dcterms:created xsi:type="dcterms:W3CDTF">2015-12-16T08:39:05Z</dcterms:created>
  <dcterms:modified xsi:type="dcterms:W3CDTF">2026-04-24T06:59:46Z</dcterms:modified>
</cp:coreProperties>
</file>